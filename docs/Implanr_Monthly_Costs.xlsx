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4740" activeTab="1"/>
  </bookViews>
  <sheets>
    <sheet name="500 Users per Month" sheetId="1" r:id="rId1"/>
    <sheet name="AWS Self-Host 500 Users"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<sst xmlns="http://schemas.openxmlformats.org/spreadsheetml/2006/main" count="161" uniqueCount="128">
  <si>
    <t>Implanr — Monthly Running Cost Estimate (500 Users)</t>
  </si>
  <si>
    <t>#</t>
  </si>
  <si>
    <t>Service</t>
  </si>
  <si>
    <t>Plan / Tier</t>
  </si>
  <si>
    <t>Why It Is Needed</t>
  </si>
  <si>
    <t>Required?</t>
  </si>
  <si>
    <t>USD/mo</t>
  </si>
  <si>
    <t>Notes</t>
  </si>
  <si>
    <t>PLATFORM — Emergent.sh</t>
  </si>
  <si>
    <t>1</t>
  </si>
  <si>
    <t>Emergent.sh</t>
  </si>
  <si>
    <t>Pro Plan — $200/mo</t>
  </si>
  <si>
    <t>Required for private project hosting, production deployment, and 750 credits/month. The Standard plan ($20) only gives 100 credits and is meant for building — not running a live app with real users. The Ops agent that monitors and auto-patches your deployed app runs on Pro.</t>
  </si>
  <si>
    <t>Required</t>
  </si>
  <si>
    <t>Standard plan is NOT sufficient for a live production app. Without Pro, the app cannot be kept privately hosted and deployed.</t>
  </si>
  <si>
    <t>2</t>
  </si>
  <si>
    <t>Emergent.sh Extra Credits</t>
  </si>
  <si>
    <t>Top-up as needed</t>
  </si>
  <si>
    <t>Emergent charges credits for every AI operation — deployments, Ops agent monitoring, auto-patches, and bug fixes. At 500 active users the Ops agent will consume credits continuously in the background. Budget extra credits to avoid the app going offline mid-month.</t>
  </si>
  <si>
    <t>Estimated</t>
  </si>
  <si>
    <t>Credits burn rate depends on how stable the app is. More bugs = more Ops agent activity = more credits. At 500 users, ~$50/mo is a safe buffer.</t>
  </si>
  <si>
    <t>DATABASE — MongoDB Atlas</t>
  </si>
  <si>
    <t>3</t>
  </si>
  <si>
    <t>MongoDB Atlas</t>
  </si>
  <si>
    <t>M10 Dedicated Cluster</t>
  </si>
  <si>
    <t>The free M0 tier does NOT support HIPAA BAA (Business Associate Agreement). The app stores PHI — patient names, medical history, clinical photos, consent forms. Legally, PHI cannot be stored on a database without a signed BAA. M10 is the lowest paid dedicated tier that supports BAA. Also provides: encryption at rest, automated backups, and 500MB+ storage vs 512MB on M0.</t>
  </si>
  <si>
    <t>HIPAA Required</t>
  </si>
  <si>
    <t>M0 (free) is fine for development and testing with dummy data only. The moment a real patient record is created, you must be on M10. Cannot be skipped.</t>
  </si>
  <si>
    <t>AI / LLM — Two Options (pick one)</t>
  </si>
  <si>
    <t>4a</t>
  </si>
  <si>
    <t>Option A: Azure OpenAI</t>
  </si>
  <si>
    <t>Pay-as-you-go</t>
  </si>
  <si>
    <t>Microsoft Azure's hosted version of OpenAI GPT-4o. Azure signs a HIPAA BAA as part of their standard enterprise agreement, making it legally safe for processing PHI in AI prompts. At 500 users making AI queries, estimated ~5,000 API calls/month.</t>
  </si>
  <si>
    <t>BAA is available via Azure portal under Microsoft Products and Services Agreement. GPT-4o input ~$0.005/1K tokens, output ~$0.015/1K tokens. Cost varies by usage.</t>
  </si>
  <si>
    <t>4b</t>
  </si>
  <si>
    <t>Option B: AWS Bedrock (Claude / Llama)</t>
  </si>
  <si>
    <t>Amazon Web Services Bedrock gives access to multiple AI models including Anthropic Claude and Meta Llama. AWS signs a HIPAA BAA as part of their standard BAA which covers Bedrock. If the backend is already on AWS, this is the cleanest option — one BAA covers hosting and AI. At 500 users, cost is similar to Azure.</t>
  </si>
  <si>
    <t>AWS BAA covers Bedrock automatically if you have signed the AWS BAA. Claude 3 Haiku on Bedrock is cheaper than GPT-4o for simple tasks. Good choice if backend migrates to AWS later.</t>
  </si>
  <si>
    <t>EMAIL — Transactional</t>
  </si>
  <si>
    <t>5</t>
  </si>
  <si>
    <t>SendGrid</t>
  </si>
  <si>
    <t>Essentials Plan</t>
  </si>
  <si>
    <t>Required for: password reset emails, appointment reminders, and any system notification emails. Without a transactional email service the app has no way to send emails to users. SendGrid Essentials covers 50,000 emails/month which is more than sufficient. SendGrid provides a BAA on paid plans.</t>
  </si>
  <si>
    <t>Alternatives: Resend ($20/mo, also has BAA), AWS SES (~$1/mo but more setup). SendGrid is the simplest to configure.</t>
  </si>
  <si>
    <t>PUSH NOTIFICATIONS — Firebase</t>
  </si>
  <si>
    <t>6</t>
  </si>
  <si>
    <t>Firebase (FCM)</t>
  </si>
  <si>
    <t>Blaze Plan (pay-as-you-go)</t>
  </si>
  <si>
    <t>Firebase Cloud Messaging (FCM) is used to send push notifications to iOS and Android devices. FCM itself is completely free regardless of user count. The Blaze plan needs to be activated on the Firebase project (no monthly fee — only pay if you exceed very high free limits which you will not at this scale). APNs (Apple Push) is routed through FCM.</t>
  </si>
  <si>
    <t>Free</t>
  </si>
  <si>
    <t>FCM is free for push notifications at any scale for a standard app. Blaze plan activation is required but costs $0 at this usage level.</t>
  </si>
  <si>
    <t>CRASH MONITORING — Sentry</t>
  </si>
  <si>
    <t>7</t>
  </si>
  <si>
    <t>Sentry</t>
  </si>
  <si>
    <t>Free Tier (5,000 errors/mo)</t>
  </si>
  <si>
    <t>Sentry catches crashes and errors on both the mobile app and backend in real time, giving full stack traces with device info and user context. Without it, you only find out about crashes when users complain. For a medical app used in a clinical environment, silent crashes are a serious problem. The free tier covers 5,000 errors/month which is enough at launch.</t>
  </si>
  <si>
    <t>Recommended</t>
  </si>
  <si>
    <t>Start on the free tier. Upgrade to Team plan ($26/mo) only if errors exceed 5,000/month. Not required for store submission but strongly advised.</t>
  </si>
  <si>
    <t>DOMAIN NAME</t>
  </si>
  <si>
    <t>10</t>
  </si>
  <si>
    <t>Domain (api.implanr.com or similar)</t>
  </si>
  <si>
    <t>Annual (~$12/year)</t>
  </si>
  <si>
    <t>A proper domain for the production backend API endpoint. Without this, the API URL will be an auto-generated Emergent subdomain which looks unprofessional and can change. A custom domain also makes SSL certificate management simpler.</t>
  </si>
  <si>
    <t>~$12/year on Namecheap or GoDaddy. Shown as $1/month. Optional but professional.</t>
  </si>
  <si>
    <t xml:space="preserve">TOTAL </t>
  </si>
  <si>
    <t>(INR 35876.17) Per month ongoing</t>
  </si>
  <si>
    <t>IMPORTANT: Emergent.sh does NOT sign a HIPAA BAA for their hosting infrastructure. The backend API running on Emergent's Kubernetes cluster is a compliance gap. MongoDB Atlas (separate) covers the database BAA. At launch with clinic-internal users this may be acceptable short-term. At scale or with patient-facing access, migrate the backend to AWS or Railway where a BAA is available.</t>
  </si>
  <si>
    <t>Implanr — AWS Self-Hosted Monthly Cost (500 Users)  |  You own the code, you deploy it</t>
  </si>
  <si>
    <t>vs Emergent.sh: You save ~$158/mo. Full HIPAA BAA coverage. You control everything.</t>
  </si>
  <si>
    <t>AWS Resource / Plan</t>
  </si>
  <si>
    <t>COMPUTE — EC2 Backend Server</t>
  </si>
  <si>
    <t>EC2 t3.medium</t>
  </si>
  <si>
    <t>2 vCPU, 4GB RAM — On-Demand</t>
  </si>
  <si>
    <t>Runs your FastAPI backend (server.py). t3.medium is the right size — t3.small (2GB RAM) will struggle with PDF generation (ReportLab), image processing for CBCT uploads, and concurrent API requests. At 500-1000 users with clinical workflows, 4GB RAM gives comfortable headroom. No Emergent credits, no Ops agent — you are in full control.</t>
  </si>
  <si>
    <t>On-Demand price $30/mo. Save 40% ($18/mo) with a 1-year Reserved Instance if client commits long-term. Use Amazon Linux 2023 (free OS). Deploy with Gunicorn + Uvicorn workers.</t>
  </si>
  <si>
    <t>EBS gp3 Volume (100GB)</t>
  </si>
  <si>
    <t>SSD root disk for EC2</t>
  </si>
  <si>
    <t>The EC2 instance needs a disk for the OS, your FastAPI code, Python dependencies, and temporary file processing (PDFs, images). 100GB is generous for the application layer — actual files (CBCT, photos) go to S3, not here.</t>
  </si>
  <si>
    <t>$0.08/GB/month. 100GB = $8/mo. You rarely need more than 50GB for the app itself but 100GB gives room to grow without resizing.</t>
  </si>
  <si>
    <t>STORAGE — S3 for Files</t>
  </si>
  <si>
    <t>Amazon S3 (Standard)</t>
  </si>
  <si>
    <t>~200GB for CBCT, photos, PDFs</t>
  </si>
  <si>
    <t>All uploaded files — CBCT scans, clinical photos, consent PDFs — must go to S3, not the EC2 disk. S3 gives: server-side encryption (SSE-S3) for HIPAA, pre-signed URLs for secure time-limited file access, 99.999999999% durability, and automatic backups. At 500-1000 users in a dental practice, 200GB covers a year of uploads comfortably. S3 is covered under AWS HIPAA BAA.</t>
  </si>
  <si>
    <t>$0.023/GB/month for S3 Standard. 200GB = $4.60/mo. Enable SSE-S3 encryption (free). Set pre-signed URL expiry to 15 min for PHI access. Enable versioning for accidental deletion protection.</t>
  </si>
  <si>
    <t>DATABASE — MongoDB Atlas (same as Emergent option)</t>
  </si>
  <si>
    <t>MongoDB Atlas M10</t>
  </si>
  <si>
    <t>Dedicated cluster — HIPAA BAA</t>
  </si>
  <si>
    <t>Same as the Emergent option — MongoDB Atlas M10 is required for HIPAA BAA regardless of where the backend is hosted. This cost does not change between Emergent and AWS deployment. M10 gives dedicated compute, encryption at rest, automated backups, and the signed BAA you need.</t>
  </si>
  <si>
    <t>This is the same $57/mo as the Emergent option. No change here. The advantage on AWS is the Atlas connection stays within AWS private networking (VPC peering), which is faster and more secure.</t>
  </si>
  <si>
    <t>AI — LLM API (same two options, now with AWS BAA)</t>
  </si>
  <si>
    <t>7a</t>
  </si>
  <si>
    <t>AWS Bedrock (Claude / Llama) / Azure OpenAI / Gemini LLM API</t>
  </si>
  <si>
    <t>On AWS self-hosted, Bedrock is the natural choice — the AWS BAA covers both your EC2 backend AND Bedrock in one agreement. No separate BAA needed. Access to Anthropic Claude 3 Haiku (fast, cheap), Claude 3 Sonnet (balanced), and Meta Llama models. At 500 users, ~5,000 API calls/month. Claude 3 Haiku is significantly cheaper than GPT-4o for most dental workflow queries. And also have other options</t>
  </si>
  <si>
    <t>AWS BAA automatically covers Bedrock. Claude 3 Haiku: $0.00025/1K input tokens, $0.00125/1K output — 4-5x cheaper than GPT-4o for simple tasks. Switch to Sonnet only for complex AI reasoning.</t>
  </si>
  <si>
    <t>EMAIL, PUSH, MONITORING</t>
  </si>
  <si>
    <t>8</t>
  </si>
  <si>
    <t>SendGrid or AWS SES</t>
  </si>
  <si>
    <t>Transactional email</t>
  </si>
  <si>
    <t>Password resets, appointment reminders, notifications. On AWS you have an additional option: Amazon SES (Simple Email Service) at $0.10 per 1,000 emails — dramatically cheaper than SendGrid. For 1000 users sending ~5,000 emails/month, SES costs $0.50 instead of $20. SES also has a HIPAA BAA on AWS. Downside: slightly more setup than SendGrid.</t>
  </si>
  <si>
    <t>AWS SES: $0.10/1K emails. 5,000 emails/month = $0.50/mo. Use SES if on AWS — it is 40x cheaper than SendGrid and covered by the same AWS BAA. Only use SendGrid if client prefers a simpler dashboard.</t>
  </si>
  <si>
    <t>9</t>
  </si>
  <si>
    <t>Firebase FCM (push notifications)</t>
  </si>
  <si>
    <t>Same as Emergent option — FCM is free regardless of where your backend is hosted. Your backend just calls the FCM HTTP API to send pushes. No change in cost.</t>
  </si>
  <si>
    <t>Completely free at this scale. Firebase Blaze activation required but $0 cost.</t>
  </si>
  <si>
    <t>Sentry (crash monitoring)</t>
  </si>
  <si>
    <t>Free tier</t>
  </si>
  <si>
    <t>Same as Emergent option — Sentry is external to your hosting. Free tier (5,000 errors/month) is sufficient at launch.</t>
  </si>
  <si>
    <t>Same as Emergent plan. Start free, upgrade to paid only if needed.</t>
  </si>
  <si>
    <t>AWS INFRASTRUCTURE TOOLS</t>
  </si>
  <si>
    <t>11</t>
  </si>
  <si>
    <t>AWS Secrets Manager</t>
  </si>
  <si>
    <t>~3 secrets</t>
  </si>
  <si>
    <t>Stores your production secrets: MongoDB Atlas URI, OpenAI/Bedrock key, JWT secret. Much safer than .env files on disk. Integrates directly with EC2 via IAM roles — no hardcoded credentials anywhere. Covered under AWS HIPAA BAA.</t>
  </si>
  <si>
    <t>$0.40/secret/month + $0.05 per 10,000 API calls. 3 secrets = $1.20/mo. Negligible cost for strong security.</t>
  </si>
  <si>
    <t>12</t>
  </si>
  <si>
    <t>CloudWatch (logs + monitoring)</t>
  </si>
  <si>
    <t>Basic tier</t>
  </si>
  <si>
    <t>AWS CloudWatch collects logs from your EC2 and ALB, sets up uptime alarms, and sends alerts on CPU spikes or errors. First 5GB of log ingestion is free. Basic monitoring (every 5 min) is free. Covered under AWS BAA for audit log retention.</t>
  </si>
  <si>
    <t>Budget $5/mo for log storage beyond the free tier and any custom metrics. UptimeRobot (free) can replace CloudWatch alarms if cost is a concern.</t>
  </si>
  <si>
    <t xml:space="preserve"> DOMAIN (same as Emergent option)</t>
  </si>
  <si>
    <t>15</t>
  </si>
  <si>
    <t>Domain name</t>
  </si>
  <si>
    <t>~$12/year</t>
  </si>
  <si>
    <t>Custom domain for API endpoint. On AWS, also used to point to the ALB.</t>
  </si>
  <si>
    <t>~$1/mo equivalent. Register on Namecheap or Route 53 ($12/yr).</t>
  </si>
  <si>
    <t>TOTAL AWS (Option A — AWS Bedrock)  |  One BAA covers everything</t>
  </si>
  <si>
    <t>INR 14995.86</t>
  </si>
  <si>
    <t>AWS HIPAA ADVANTAGE: When self-hosting on AWS, a single AWS BAA covers EC2 (backend), S3 (file storage), Secrets Manager, CloudWatch (audit logs), and AWS Bedrock (AI) — all under one agreement. On Emergent, only MongoDB Atlas has a BAA. AWS self-hosting is the correct long-term architecture for a medical app handling PHI.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</si>
</sst>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37">
    <font>
      <sz val="11"/>
      <color theme="1"/>
      <name val="Calibri"/>
      <charset val="134"/>
      <scheme val="minor"/>
    </font>
    <font>
      <b/>
      <sz val="13"/>
      <color rgb="FFFFFFFF"/>
      <name val="Arial"/>
      <charset val="134"/>
    </font>
    <font>
      <b/>
      <sz val="10"/>
      <color rgb="FF1E8449"/>
      <name val="Arial"/>
      <charset val="134"/>
    </font>
    <font>
      <b/>
      <sz val="10"/>
      <color rgb="FFFFFFFF"/>
      <name val="Arial"/>
      <charset val="134"/>
    </font>
    <font>
      <b/>
      <sz val="9"/>
      <color rgb="FF1A1A1A"/>
      <name val="Arial"/>
      <charset val="134"/>
    </font>
    <font>
      <sz val="9"/>
      <color rgb="FF555555"/>
      <name val="Arial"/>
      <charset val="134"/>
    </font>
    <font>
      <sz val="9"/>
      <color rgb="FF1A1A1A"/>
      <name val="Arial"/>
      <charset val="134"/>
    </font>
    <font>
      <sz val="9"/>
      <color rgb="FF0E6655"/>
      <name val="Arial"/>
      <charset val="134"/>
    </font>
    <font>
      <b/>
      <sz val="9"/>
      <color rgb="FFC0392B"/>
      <name val="Arial"/>
      <charset val="134"/>
    </font>
    <font>
      <b/>
      <sz val="10"/>
      <color rgb="FF1A1A1A"/>
      <name val="Arial"/>
      <charset val="134"/>
    </font>
    <font>
      <sz val="8"/>
      <color rgb="FF555555"/>
      <name val="Arial"/>
      <charset val="134"/>
    </font>
    <font>
      <b/>
      <sz val="9"/>
      <color rgb="FF1E8449"/>
      <name val="Arial"/>
      <charset val="134"/>
    </font>
    <font>
      <b/>
      <sz val="9"/>
      <color rgb="FFCA6F1E"/>
      <name val="Arial"/>
      <charset val="134"/>
    </font>
    <font>
      <b/>
      <sz val="9"/>
      <color rgb="FFFFFFFF"/>
      <name val="Arial"/>
      <charset val="134"/>
    </font>
    <font>
      <i/>
      <sz val="9"/>
      <color rgb="FFC0392B"/>
      <name val="Arial"/>
      <charset val="134"/>
    </font>
    <font>
      <b/>
      <sz val="9"/>
      <color rgb="FF1A6B8A"/>
      <name val="Arial"/>
      <charset val="134"/>
    </font>
    <font>
      <b/>
      <sz val="11"/>
      <color rgb="FFFFFFFF"/>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7">
    <fill>
      <patternFill patternType="none"/>
    </fill>
    <fill>
      <patternFill patternType="gray125"/>
    </fill>
    <fill>
      <patternFill patternType="solid">
        <fgColor rgb="FF0E6655"/>
        <bgColor indexed="64"/>
      </patternFill>
    </fill>
    <fill>
      <patternFill patternType="solid">
        <fgColor rgb="FFE9F7EF"/>
        <bgColor indexed="64"/>
      </patternFill>
    </fill>
    <fill>
      <patternFill patternType="solid">
        <fgColor rgb="FF2E4057"/>
        <bgColor indexed="64"/>
      </patternFill>
    </fill>
    <fill>
      <patternFill patternType="solid">
        <fgColor rgb="FFF8F9FA"/>
        <bgColor indexed="64"/>
      </patternFill>
    </fill>
    <fill>
      <patternFill patternType="solid">
        <fgColor rgb="FFF2F3F4"/>
        <bgColor indexed="64"/>
      </patternFill>
    </fill>
    <fill>
      <patternFill patternType="solid">
        <fgColor rgb="FF1A6B8A"/>
        <bgColor indexed="64"/>
      </patternFill>
    </fill>
    <fill>
      <patternFill patternType="solid">
        <fgColor rgb="FF6C3483"/>
        <bgColor indexed="64"/>
      </patternFill>
    </fill>
    <fill>
      <patternFill patternType="solid">
        <fgColor rgb="FF1E8449"/>
        <bgColor indexed="64"/>
      </patternFill>
    </fill>
    <fill>
      <patternFill patternType="solid">
        <fgColor rgb="FFE8F8F5"/>
        <bgColor indexed="64"/>
      </patternFill>
    </fill>
    <fill>
      <patternFill patternType="solid">
        <fgColor rgb="FFFDEDEC"/>
        <bgColor indexed="64"/>
      </patternFill>
    </fill>
    <fill>
      <patternFill patternType="solid">
        <fgColor rgb="FFFEF9E7"/>
        <bgColor indexed="64"/>
      </patternFill>
    </fill>
    <fill>
      <patternFill patternType="solid">
        <fgColor rgb="FF0D1B2A"/>
        <bgColor indexed="64"/>
      </patternFill>
    </fill>
    <fill>
      <patternFill patternType="solid">
        <fgColor rgb="FFCA6F1E"/>
        <bgColor indexed="64"/>
      </patternFill>
    </fill>
    <fill>
      <patternFill patternType="solid">
        <fgColor rgb="FFEAF4F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BDC3C7"/>
      </left>
      <right style="thin">
        <color rgb="FFBDC3C7"/>
      </right>
      <top style="thin">
        <color rgb="FFBDC3C7"/>
      </top>
      <bottom style="thin">
        <color rgb="FFBDC3C7"/>
      </bottom>
      <diagonal/>
    </border>
    <border>
      <left/>
      <right/>
      <top style="thin">
        <color rgb="FFBDC3C7"/>
      </top>
      <bottom style="thin">
        <color rgb="FFBDC3C7"/>
      </bottom>
      <diagonal/>
    </border>
    <border>
      <left/>
      <right style="thin">
        <color rgb="FFBDC3C7"/>
      </right>
      <top style="thin">
        <color rgb="FFBDC3C7"/>
      </top>
      <bottom style="thin">
        <color rgb="FFBDC3C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7" fillId="0" borderId="0" applyFont="0" applyFill="0" applyBorder="0" applyAlignment="0" applyProtection="0">
      <alignment vertical="center"/>
    </xf>
    <xf numFmtId="44" fontId="17" fillId="0" borderId="0" applyFont="0" applyFill="0" applyBorder="0" applyAlignment="0" applyProtection="0">
      <alignment vertical="center"/>
    </xf>
    <xf numFmtId="9" fontId="17" fillId="0" borderId="0" applyFont="0" applyFill="0" applyBorder="0" applyAlignment="0" applyProtection="0">
      <alignment vertical="center"/>
    </xf>
    <xf numFmtId="41" fontId="17" fillId="0" borderId="0" applyFont="0" applyFill="0" applyBorder="0" applyAlignment="0" applyProtection="0">
      <alignment vertical="center"/>
    </xf>
    <xf numFmtId="42" fontId="17"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7" fillId="16" borderId="4"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5" applyNumberFormat="0" applyFill="0" applyAlignment="0" applyProtection="0">
      <alignment vertical="center"/>
    </xf>
    <xf numFmtId="0" fontId="24" fillId="0" borderId="5" applyNumberFormat="0" applyFill="0" applyAlignment="0" applyProtection="0">
      <alignment vertical="center"/>
    </xf>
    <xf numFmtId="0" fontId="25" fillId="0" borderId="6" applyNumberFormat="0" applyFill="0" applyAlignment="0" applyProtection="0">
      <alignment vertical="center"/>
    </xf>
    <xf numFmtId="0" fontId="25" fillId="0" borderId="0" applyNumberFormat="0" applyFill="0" applyBorder="0" applyAlignment="0" applyProtection="0">
      <alignment vertical="center"/>
    </xf>
    <xf numFmtId="0" fontId="26" fillId="17" borderId="7" applyNumberFormat="0" applyAlignment="0" applyProtection="0">
      <alignment vertical="center"/>
    </xf>
    <xf numFmtId="0" fontId="27" fillId="18" borderId="8" applyNumberFormat="0" applyAlignment="0" applyProtection="0">
      <alignment vertical="center"/>
    </xf>
    <xf numFmtId="0" fontId="28" fillId="18" borderId="7" applyNumberFormat="0" applyAlignment="0" applyProtection="0">
      <alignment vertical="center"/>
    </xf>
    <xf numFmtId="0" fontId="29" fillId="19" borderId="9" applyNumberFormat="0" applyAlignment="0" applyProtection="0">
      <alignment vertical="center"/>
    </xf>
    <xf numFmtId="0" fontId="30" fillId="0" borderId="10" applyNumberFormat="0" applyFill="0" applyAlignment="0" applyProtection="0">
      <alignment vertical="center"/>
    </xf>
    <xf numFmtId="0" fontId="31" fillId="0" borderId="11" applyNumberFormat="0" applyFill="0" applyAlignment="0" applyProtection="0">
      <alignment vertical="center"/>
    </xf>
    <xf numFmtId="0" fontId="32" fillId="20" borderId="0" applyNumberFormat="0" applyBorder="0" applyAlignment="0" applyProtection="0">
      <alignment vertical="center"/>
    </xf>
    <xf numFmtId="0" fontId="33" fillId="21" borderId="0" applyNumberFormat="0" applyBorder="0" applyAlignment="0" applyProtection="0">
      <alignment vertical="center"/>
    </xf>
    <xf numFmtId="0" fontId="34" fillId="22" borderId="0" applyNumberFormat="0" applyBorder="0" applyAlignment="0" applyProtection="0">
      <alignment vertical="center"/>
    </xf>
    <xf numFmtId="0" fontId="35" fillId="23" borderId="0" applyNumberFormat="0" applyBorder="0" applyAlignment="0" applyProtection="0">
      <alignment vertical="center"/>
    </xf>
    <xf numFmtId="0" fontId="36" fillId="24" borderId="0" applyNumberFormat="0" applyBorder="0" applyAlignment="0" applyProtection="0">
      <alignment vertical="center"/>
    </xf>
    <xf numFmtId="0" fontId="36"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6" fillId="32" borderId="0" applyNumberFormat="0" applyBorder="0" applyAlignment="0" applyProtection="0">
      <alignment vertical="center"/>
    </xf>
    <xf numFmtId="0" fontId="36"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6" fillId="36" borderId="0" applyNumberFormat="0" applyBorder="0" applyAlignment="0" applyProtection="0">
      <alignment vertical="center"/>
    </xf>
    <xf numFmtId="0" fontId="36" fillId="37" borderId="0" applyNumberFormat="0" applyBorder="0" applyAlignment="0" applyProtection="0">
      <alignment vertical="center"/>
    </xf>
    <xf numFmtId="0" fontId="35" fillId="38" borderId="0" applyNumberFormat="0" applyBorder="0" applyAlignment="0" applyProtection="0">
      <alignment vertical="center"/>
    </xf>
    <xf numFmtId="0" fontId="35" fillId="39" borderId="0" applyNumberFormat="0" applyBorder="0" applyAlignment="0" applyProtection="0">
      <alignment vertical="center"/>
    </xf>
    <xf numFmtId="0" fontId="36" fillId="40" borderId="0" applyNumberFormat="0" applyBorder="0" applyAlignment="0" applyProtection="0">
      <alignment vertical="center"/>
    </xf>
    <xf numFmtId="0" fontId="36" fillId="41" borderId="0" applyNumberFormat="0" applyBorder="0" applyAlignment="0" applyProtection="0">
      <alignment vertical="center"/>
    </xf>
    <xf numFmtId="0" fontId="35" fillId="42" borderId="0" applyNumberFormat="0" applyBorder="0" applyAlignment="0" applyProtection="0">
      <alignment vertical="center"/>
    </xf>
    <xf numFmtId="0" fontId="35" fillId="43" borderId="0" applyNumberFormat="0" applyBorder="0" applyAlignment="0" applyProtection="0">
      <alignment vertical="center"/>
    </xf>
    <xf numFmtId="0" fontId="36" fillId="44" borderId="0" applyNumberFormat="0" applyBorder="0" applyAlignment="0" applyProtection="0">
      <alignment vertical="center"/>
    </xf>
    <xf numFmtId="0" fontId="36" fillId="45" borderId="0" applyNumberFormat="0" applyBorder="0" applyAlignment="0" applyProtection="0">
      <alignment vertical="center"/>
    </xf>
    <xf numFmtId="0" fontId="35" fillId="46" borderId="0" applyNumberFormat="0" applyBorder="0" applyAlignment="0" applyProtection="0">
      <alignment vertical="center"/>
    </xf>
  </cellStyleXfs>
  <cellXfs count="38">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center" vertical="center"/>
    </xf>
    <xf numFmtId="0" fontId="3" fillId="4" borderId="1" xfId="0" applyFont="1" applyFill="1" applyBorder="1" applyAlignment="1">
      <alignment horizontal="center" vertical="center" wrapText="1"/>
    </xf>
    <xf numFmtId="0" fontId="3" fillId="2" borderId="0" xfId="0" applyFont="1" applyFill="1" applyAlignment="1">
      <alignment horizontal="left" vertical="center" indent="1"/>
    </xf>
    <xf numFmtId="0" fontId="4"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3" fillId="7" borderId="0" xfId="0" applyFont="1" applyFill="1" applyAlignment="1">
      <alignment horizontal="left" vertical="center" indent="1"/>
    </xf>
    <xf numFmtId="0" fontId="3" fillId="8" borderId="0" xfId="0" applyFont="1" applyFill="1" applyAlignment="1">
      <alignment horizontal="left" vertical="center" indent="1"/>
    </xf>
    <xf numFmtId="0" fontId="3" fillId="9" borderId="0" xfId="0" applyFont="1" applyFill="1" applyAlignment="1">
      <alignment horizontal="left" vertical="center" indent="1"/>
    </xf>
    <xf numFmtId="0" fontId="3" fillId="4" borderId="0" xfId="0" applyFont="1" applyFill="1" applyAlignment="1">
      <alignment horizontal="left" vertical="center" indent="1"/>
    </xf>
    <xf numFmtId="0" fontId="3" fillId="2" borderId="1" xfId="0" applyFont="1" applyFill="1" applyBorder="1" applyAlignment="1">
      <alignment horizontal="left" vertical="center" wrapText="1"/>
    </xf>
    <xf numFmtId="0" fontId="7" fillId="10" borderId="1" xfId="0" applyFont="1" applyFill="1" applyBorder="1" applyAlignment="1">
      <alignment horizontal="left" vertical="center" wrapText="1"/>
    </xf>
    <xf numFmtId="0" fontId="8" fillId="11" borderId="1" xfId="0" applyFont="1" applyFill="1" applyBorder="1" applyAlignment="1">
      <alignment horizontal="center" vertical="center" wrapText="1"/>
    </xf>
    <xf numFmtId="0" fontId="9" fillId="5" borderId="1" xfId="0" applyFont="1" applyFill="1" applyBorder="1" applyAlignment="1">
      <alignment horizontal="center" vertical="center"/>
    </xf>
    <xf numFmtId="0" fontId="10" fillId="5" borderId="1" xfId="0" applyFont="1" applyFill="1" applyBorder="1" applyAlignment="1">
      <alignment horizontal="left" vertical="center" wrapText="1"/>
    </xf>
    <xf numFmtId="0" fontId="9" fillId="6" borderId="1" xfId="0" applyFont="1" applyFill="1" applyBorder="1" applyAlignment="1">
      <alignment horizontal="center" vertical="center"/>
    </xf>
    <xf numFmtId="0" fontId="10" fillId="6"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1" fillId="3" borderId="1" xfId="0" applyFont="1" applyFill="1" applyBorder="1" applyAlignment="1">
      <alignment horizontal="center" vertical="center"/>
    </xf>
    <xf numFmtId="0" fontId="12" fillId="1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 fillId="13" borderId="0" xfId="0" applyFont="1" applyFill="1" applyAlignment="1">
      <alignment horizontal="center" vertical="center" wrapText="1"/>
    </xf>
    <xf numFmtId="0" fontId="3" fillId="14" borderId="0" xfId="0" applyFont="1" applyFill="1" applyAlignment="1">
      <alignment horizontal="left" vertical="center" indent="1"/>
    </xf>
    <xf numFmtId="0" fontId="3" fillId="13" borderId="1" xfId="0" applyFont="1" applyFill="1" applyBorder="1" applyAlignment="1">
      <alignment horizontal="left" vertical="center" wrapText="1"/>
    </xf>
    <xf numFmtId="0" fontId="0" fillId="0" borderId="2" xfId="0" applyBorder="1"/>
    <xf numFmtId="0" fontId="14" fillId="11" borderId="1" xfId="0" applyFont="1" applyFill="1" applyBorder="1" applyAlignment="1">
      <alignment horizontal="left" vertical="center" wrapText="1"/>
    </xf>
    <xf numFmtId="0" fontId="15" fillId="15" borderId="1" xfId="0" applyFont="1" applyFill="1" applyBorder="1" applyAlignment="1">
      <alignment horizontal="center" vertical="center" wrapText="1"/>
    </xf>
    <xf numFmtId="0" fontId="0" fillId="0" borderId="3" xfId="0" applyBorder="1"/>
    <xf numFmtId="0" fontId="16" fillId="13" borderId="1" xfId="0" applyFont="1" applyFill="1" applyBorder="1" applyAlignment="1">
      <alignment horizontal="center" vertical="center" wrapText="1"/>
    </xf>
    <xf numFmtId="0" fontId="13" fillId="13"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3"/>
  <sheetViews>
    <sheetView showGridLines="0" workbookViewId="0">
      <pane ySplit="2" topLeftCell="A3" activePane="bottomLeft" state="frozen"/>
      <selection/>
      <selection pane="bottomLeft" activeCell="L7" sqref="L7"/>
    </sheetView>
  </sheetViews>
  <sheetFormatPr defaultColWidth="9" defaultRowHeight="16.8" outlineLevelCol="6"/>
  <cols>
    <col min="1" max="1" width="4" customWidth="1"/>
    <col min="2" max="2" width="24" customWidth="1"/>
    <col min="3" max="3" width="18" customWidth="1"/>
    <col min="4" max="4" width="52" customWidth="1"/>
    <col min="5" max="5" width="14" customWidth="1"/>
    <col min="6" max="6" width="9" customWidth="1"/>
    <col min="7" max="7" width="32" customWidth="1"/>
  </cols>
  <sheetData>
    <row r="1" ht="36" customHeight="1" spans="1:1">
      <c r="A1" s="29" t="s">
        <v>0</v>
      </c>
    </row>
    <row r="2" ht="24" customHeight="1" spans="1:7">
      <c r="A2" s="3" t="s">
        <v>1</v>
      </c>
      <c r="B2" s="3" t="s">
        <v>2</v>
      </c>
      <c r="C2" s="3" t="s">
        <v>3</v>
      </c>
      <c r="D2" s="3" t="s">
        <v>4</v>
      </c>
      <c r="E2" s="3" t="s">
        <v>5</v>
      </c>
      <c r="F2" s="3" t="s">
        <v>6</v>
      </c>
      <c r="G2" s="3" t="s">
        <v>7</v>
      </c>
    </row>
    <row r="3" ht="22" customHeight="1" spans="1:1">
      <c r="A3" s="16" t="s">
        <v>8</v>
      </c>
    </row>
    <row r="4" ht="75" customHeight="1" spans="1:7">
      <c r="A4" s="5" t="s">
        <v>9</v>
      </c>
      <c r="B4" s="6" t="s">
        <v>10</v>
      </c>
      <c r="C4" s="7" t="s">
        <v>11</v>
      </c>
      <c r="D4" s="8" t="s">
        <v>12</v>
      </c>
      <c r="E4" s="19" t="s">
        <v>13</v>
      </c>
      <c r="F4" s="20">
        <v>200</v>
      </c>
      <c r="G4" s="21" t="s">
        <v>14</v>
      </c>
    </row>
    <row r="5" ht="75" customHeight="1" spans="1:7">
      <c r="A5" s="9" t="s">
        <v>15</v>
      </c>
      <c r="B5" s="10" t="s">
        <v>16</v>
      </c>
      <c r="C5" s="11" t="s">
        <v>17</v>
      </c>
      <c r="D5" s="12" t="s">
        <v>18</v>
      </c>
      <c r="E5" s="34" t="s">
        <v>19</v>
      </c>
      <c r="F5" s="22">
        <v>50</v>
      </c>
      <c r="G5" s="23" t="s">
        <v>20</v>
      </c>
    </row>
    <row r="6" ht="22" customHeight="1" spans="1:1">
      <c r="A6" s="13" t="s">
        <v>21</v>
      </c>
    </row>
    <row r="7" ht="75" customHeight="1" spans="1:7">
      <c r="A7" s="9" t="s">
        <v>22</v>
      </c>
      <c r="B7" s="10" t="s">
        <v>23</v>
      </c>
      <c r="C7" s="11" t="s">
        <v>24</v>
      </c>
      <c r="D7" s="12" t="s">
        <v>25</v>
      </c>
      <c r="E7" s="19" t="s">
        <v>26</v>
      </c>
      <c r="F7" s="22">
        <v>57</v>
      </c>
      <c r="G7" s="23" t="s">
        <v>27</v>
      </c>
    </row>
    <row r="8" ht="22" customHeight="1" spans="1:1">
      <c r="A8" s="14" t="s">
        <v>28</v>
      </c>
    </row>
    <row r="9" ht="75" customHeight="1" spans="1:7">
      <c r="A9" s="9" t="s">
        <v>29</v>
      </c>
      <c r="B9" s="10" t="s">
        <v>30</v>
      </c>
      <c r="C9" s="11" t="s">
        <v>31</v>
      </c>
      <c r="D9" s="12" t="s">
        <v>32</v>
      </c>
      <c r="E9" s="19" t="s">
        <v>26</v>
      </c>
      <c r="F9" s="22">
        <v>50</v>
      </c>
      <c r="G9" s="23" t="s">
        <v>33</v>
      </c>
    </row>
    <row r="10" ht="75" customHeight="1" spans="1:7">
      <c r="A10" s="5" t="s">
        <v>34</v>
      </c>
      <c r="B10" s="6" t="s">
        <v>35</v>
      </c>
      <c r="C10" s="7" t="s">
        <v>31</v>
      </c>
      <c r="D10" s="8" t="s">
        <v>36</v>
      </c>
      <c r="E10" s="19" t="s">
        <v>26</v>
      </c>
      <c r="F10" s="20">
        <v>50</v>
      </c>
      <c r="G10" s="21" t="s">
        <v>37</v>
      </c>
    </row>
    <row r="11" ht="22" customHeight="1" spans="1:1">
      <c r="A11" s="15" t="s">
        <v>38</v>
      </c>
    </row>
    <row r="12" ht="75" customHeight="1" spans="1:7">
      <c r="A12" s="5" t="s">
        <v>39</v>
      </c>
      <c r="B12" s="6" t="s">
        <v>40</v>
      </c>
      <c r="C12" s="7" t="s">
        <v>41</v>
      </c>
      <c r="D12" s="8" t="s">
        <v>42</v>
      </c>
      <c r="E12" s="19" t="s">
        <v>13</v>
      </c>
      <c r="F12" s="20">
        <v>20</v>
      </c>
      <c r="G12" s="21" t="s">
        <v>43</v>
      </c>
    </row>
    <row r="13" ht="22" customHeight="1" spans="1:1">
      <c r="A13" s="15" t="s">
        <v>44</v>
      </c>
    </row>
    <row r="14" ht="75" customHeight="1" spans="1:7">
      <c r="A14" s="5" t="s">
        <v>45</v>
      </c>
      <c r="B14" s="6" t="s">
        <v>46</v>
      </c>
      <c r="C14" s="7" t="s">
        <v>47</v>
      </c>
      <c r="D14" s="8" t="s">
        <v>48</v>
      </c>
      <c r="E14" s="24" t="s">
        <v>49</v>
      </c>
      <c r="F14" s="25" t="s">
        <v>49</v>
      </c>
      <c r="G14" s="21" t="s">
        <v>50</v>
      </c>
    </row>
    <row r="15" ht="22" customHeight="1" spans="1:1">
      <c r="A15" s="30" t="s">
        <v>51</v>
      </c>
    </row>
    <row r="16" ht="75" customHeight="1" spans="1:7">
      <c r="A16" s="5" t="s">
        <v>52</v>
      </c>
      <c r="B16" s="6" t="s">
        <v>53</v>
      </c>
      <c r="C16" s="7" t="s">
        <v>54</v>
      </c>
      <c r="D16" s="8" t="s">
        <v>55</v>
      </c>
      <c r="E16" s="26" t="s">
        <v>56</v>
      </c>
      <c r="F16" s="25" t="s">
        <v>49</v>
      </c>
      <c r="G16" s="21" t="s">
        <v>57</v>
      </c>
    </row>
    <row r="17" ht="22" customHeight="1" spans="1:1">
      <c r="A17" s="16" t="s">
        <v>58</v>
      </c>
    </row>
    <row r="18" ht="75" customHeight="1" spans="1:7">
      <c r="A18" s="9" t="s">
        <v>59</v>
      </c>
      <c r="B18" s="10" t="s">
        <v>60</v>
      </c>
      <c r="C18" s="11" t="s">
        <v>61</v>
      </c>
      <c r="D18" s="12" t="s">
        <v>62</v>
      </c>
      <c r="E18" s="26" t="s">
        <v>56</v>
      </c>
      <c r="F18" s="22">
        <v>1</v>
      </c>
      <c r="G18" s="23" t="s">
        <v>63</v>
      </c>
    </row>
    <row r="20" ht="14" customHeight="1"/>
    <row r="21" ht="26" customHeight="1" spans="1:7">
      <c r="A21" s="31" t="s">
        <v>64</v>
      </c>
      <c r="B21" s="32"/>
      <c r="C21" s="32"/>
      <c r="D21" s="32"/>
      <c r="E21" s="35"/>
      <c r="F21" s="36">
        <f>SUM(F1,F4,F5,F7,F10,F12,F18)</f>
        <v>378</v>
      </c>
      <c r="G21" s="37" t="s">
        <v>65</v>
      </c>
    </row>
    <row r="23" ht="48" customHeight="1" spans="1:7">
      <c r="A23" s="33" t="s">
        <v>66</v>
      </c>
      <c r="B23" s="32"/>
      <c r="C23" s="32"/>
      <c r="D23" s="32"/>
      <c r="E23" s="32"/>
      <c r="F23" s="32"/>
      <c r="G23" s="35"/>
    </row>
  </sheetData>
  <mergeCells count="10">
    <mergeCell ref="A1:G1"/>
    <mergeCell ref="A3:G3"/>
    <mergeCell ref="A6:G6"/>
    <mergeCell ref="A8:G8"/>
    <mergeCell ref="A11:G11"/>
    <mergeCell ref="A13:G13"/>
    <mergeCell ref="A15:G15"/>
    <mergeCell ref="A17:G17"/>
    <mergeCell ref="A21:E21"/>
    <mergeCell ref="A23:G23"/>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5"/>
  <sheetViews>
    <sheetView showGridLines="0" tabSelected="1" workbookViewId="0">
      <pane ySplit="3" topLeftCell="A4" activePane="bottomLeft" state="frozen"/>
      <selection/>
      <selection pane="bottomLeft" activeCell="J10" sqref="J10"/>
    </sheetView>
  </sheetViews>
  <sheetFormatPr defaultColWidth="9" defaultRowHeight="16.8" outlineLevelCol="6"/>
  <cols>
    <col min="1" max="1" width="4" customWidth="1"/>
    <col min="2" max="2" width="24" customWidth="1"/>
    <col min="3" max="3" width="20" customWidth="1"/>
    <col min="4" max="4" width="52" customWidth="1"/>
    <col min="5" max="5" width="14" customWidth="1"/>
    <col min="6" max="6" width="9" customWidth="1"/>
    <col min="7" max="7" width="32" customWidth="1"/>
  </cols>
  <sheetData>
    <row r="1" ht="36" customHeight="1" spans="1:1">
      <c r="A1" s="1" t="s">
        <v>67</v>
      </c>
    </row>
    <row r="2" ht="20" customHeight="1" spans="1:1">
      <c r="A2" s="2" t="s">
        <v>68</v>
      </c>
    </row>
    <row r="3" ht="24" customHeight="1" spans="1:7">
      <c r="A3" s="3" t="s">
        <v>1</v>
      </c>
      <c r="B3" s="3" t="s">
        <v>2</v>
      </c>
      <c r="C3" s="3" t="s">
        <v>69</v>
      </c>
      <c r="D3" s="3" t="s">
        <v>4</v>
      </c>
      <c r="E3" s="3" t="s">
        <v>5</v>
      </c>
      <c r="F3" s="3" t="s">
        <v>6</v>
      </c>
      <c r="G3" s="3" t="s">
        <v>7</v>
      </c>
    </row>
    <row r="4" ht="22" customHeight="1" spans="1:1">
      <c r="A4" s="4" t="s">
        <v>70</v>
      </c>
    </row>
    <row r="5" ht="75" customHeight="1" spans="1:7">
      <c r="A5" s="5" t="s">
        <v>9</v>
      </c>
      <c r="B5" s="6" t="s">
        <v>71</v>
      </c>
      <c r="C5" s="7" t="s">
        <v>72</v>
      </c>
      <c r="D5" s="8" t="s">
        <v>73</v>
      </c>
      <c r="E5" s="19" t="s">
        <v>13</v>
      </c>
      <c r="F5" s="20">
        <v>30</v>
      </c>
      <c r="G5" s="21" t="s">
        <v>74</v>
      </c>
    </row>
    <row r="6" ht="75" customHeight="1" spans="1:7">
      <c r="A6" s="9" t="s">
        <v>15</v>
      </c>
      <c r="B6" s="10" t="s">
        <v>75</v>
      </c>
      <c r="C6" s="11" t="s">
        <v>76</v>
      </c>
      <c r="D6" s="12" t="s">
        <v>77</v>
      </c>
      <c r="E6" s="19" t="s">
        <v>13</v>
      </c>
      <c r="F6" s="22">
        <v>8</v>
      </c>
      <c r="G6" s="23" t="s">
        <v>78</v>
      </c>
    </row>
    <row r="7" ht="22" customHeight="1" spans="1:1">
      <c r="A7" s="13" t="s">
        <v>79</v>
      </c>
    </row>
    <row r="8" ht="75" customHeight="1" spans="1:7">
      <c r="A8" s="9" t="s">
        <v>22</v>
      </c>
      <c r="B8" s="10" t="s">
        <v>80</v>
      </c>
      <c r="C8" s="11" t="s">
        <v>81</v>
      </c>
      <c r="D8" s="12" t="s">
        <v>82</v>
      </c>
      <c r="E8" s="19" t="s">
        <v>26</v>
      </c>
      <c r="F8" s="22">
        <v>5</v>
      </c>
      <c r="G8" s="23" t="s">
        <v>83</v>
      </c>
    </row>
    <row r="9" ht="22" customHeight="1" spans="1:1">
      <c r="A9" s="13" t="s">
        <v>84</v>
      </c>
    </row>
    <row r="10" ht="75" customHeight="1" spans="1:7">
      <c r="A10" s="5" t="s">
        <v>45</v>
      </c>
      <c r="B10" s="6" t="s">
        <v>85</v>
      </c>
      <c r="C10" s="7" t="s">
        <v>86</v>
      </c>
      <c r="D10" s="8" t="s">
        <v>87</v>
      </c>
      <c r="E10" s="19" t="s">
        <v>26</v>
      </c>
      <c r="F10" s="20">
        <v>57</v>
      </c>
      <c r="G10" s="21" t="s">
        <v>88</v>
      </c>
    </row>
    <row r="11" ht="22" customHeight="1" spans="1:1">
      <c r="A11" s="14" t="s">
        <v>89</v>
      </c>
    </row>
    <row r="12" ht="87" customHeight="1" spans="1:7">
      <c r="A12" s="5" t="s">
        <v>90</v>
      </c>
      <c r="B12" s="6" t="s">
        <v>91</v>
      </c>
      <c r="C12" s="7" t="s">
        <v>31</v>
      </c>
      <c r="D12" s="8" t="s">
        <v>92</v>
      </c>
      <c r="E12" s="19" t="s">
        <v>26</v>
      </c>
      <c r="F12" s="20">
        <v>50</v>
      </c>
      <c r="G12" s="21" t="s">
        <v>93</v>
      </c>
    </row>
    <row r="13" ht="22" customHeight="1" spans="1:1">
      <c r="A13" s="15" t="s">
        <v>94</v>
      </c>
    </row>
    <row r="14" ht="75" customHeight="1" spans="1:7">
      <c r="A14" s="9" t="s">
        <v>95</v>
      </c>
      <c r="B14" s="10" t="s">
        <v>96</v>
      </c>
      <c r="C14" s="11" t="s">
        <v>97</v>
      </c>
      <c r="D14" s="12" t="s">
        <v>98</v>
      </c>
      <c r="E14" s="19" t="s">
        <v>13</v>
      </c>
      <c r="F14" s="22">
        <v>1</v>
      </c>
      <c r="G14" s="23" t="s">
        <v>99</v>
      </c>
    </row>
    <row r="15" ht="75" customHeight="1" spans="1:7">
      <c r="A15" s="5" t="s">
        <v>100</v>
      </c>
      <c r="B15" s="6" t="s">
        <v>101</v>
      </c>
      <c r="C15" s="7" t="s">
        <v>49</v>
      </c>
      <c r="D15" s="8" t="s">
        <v>102</v>
      </c>
      <c r="E15" s="24" t="s">
        <v>49</v>
      </c>
      <c r="F15" s="25" t="s">
        <v>49</v>
      </c>
      <c r="G15" s="21" t="s">
        <v>103</v>
      </c>
    </row>
    <row r="16" ht="75" customHeight="1" spans="1:7">
      <c r="A16" s="9" t="s">
        <v>59</v>
      </c>
      <c r="B16" s="10" t="s">
        <v>104</v>
      </c>
      <c r="C16" s="11" t="s">
        <v>105</v>
      </c>
      <c r="D16" s="12" t="s">
        <v>106</v>
      </c>
      <c r="E16" s="24" t="s">
        <v>49</v>
      </c>
      <c r="F16" s="25" t="s">
        <v>49</v>
      </c>
      <c r="G16" s="23" t="s">
        <v>107</v>
      </c>
    </row>
    <row r="17" ht="22" customHeight="1" spans="1:1">
      <c r="A17" s="4" t="s">
        <v>108</v>
      </c>
    </row>
    <row r="18" ht="75" customHeight="1" spans="1:7">
      <c r="A18" s="9" t="s">
        <v>109</v>
      </c>
      <c r="B18" s="10" t="s">
        <v>110</v>
      </c>
      <c r="C18" s="11" t="s">
        <v>111</v>
      </c>
      <c r="D18" s="12" t="s">
        <v>112</v>
      </c>
      <c r="E18" s="19" t="s">
        <v>13</v>
      </c>
      <c r="F18" s="22">
        <v>1</v>
      </c>
      <c r="G18" s="23" t="s">
        <v>113</v>
      </c>
    </row>
    <row r="19" ht="75" customHeight="1" spans="1:7">
      <c r="A19" s="5" t="s">
        <v>114</v>
      </c>
      <c r="B19" s="6" t="s">
        <v>115</v>
      </c>
      <c r="C19" s="7" t="s">
        <v>116</v>
      </c>
      <c r="D19" s="8" t="s">
        <v>117</v>
      </c>
      <c r="E19" s="19" t="s">
        <v>13</v>
      </c>
      <c r="F19" s="20">
        <v>5</v>
      </c>
      <c r="G19" s="21" t="s">
        <v>118</v>
      </c>
    </row>
    <row r="20" ht="22" customHeight="1" spans="1:1">
      <c r="A20" s="16" t="s">
        <v>119</v>
      </c>
    </row>
    <row r="21" ht="75" customHeight="1" spans="1:7">
      <c r="A21" s="5" t="s">
        <v>120</v>
      </c>
      <c r="B21" s="6" t="s">
        <v>121</v>
      </c>
      <c r="C21" s="7" t="s">
        <v>122</v>
      </c>
      <c r="D21" s="8" t="s">
        <v>123</v>
      </c>
      <c r="E21" s="26" t="s">
        <v>56</v>
      </c>
      <c r="F21" s="20">
        <v>1</v>
      </c>
      <c r="G21" s="21" t="s">
        <v>124</v>
      </c>
    </row>
    <row r="23" ht="26" customHeight="1" spans="1:7">
      <c r="A23" s="17" t="s">
        <v>125</v>
      </c>
      <c r="F23" s="27">
        <f>SUM(F5,F6,F8,F10,F12,F14,F18,F19,F21)</f>
        <v>158</v>
      </c>
      <c r="G23" s="28" t="s">
        <v>126</v>
      </c>
    </row>
    <row r="25" ht="52" customHeight="1" spans="1:1">
      <c r="A25" s="18" t="s">
        <v>127</v>
      </c>
    </row>
  </sheetData>
  <mergeCells count="11">
    <mergeCell ref="A1:G1"/>
    <mergeCell ref="A2:G2"/>
    <mergeCell ref="A4:G4"/>
    <mergeCell ref="A7:G7"/>
    <mergeCell ref="A9:G9"/>
    <mergeCell ref="A11:G11"/>
    <mergeCell ref="A13:G13"/>
    <mergeCell ref="A17:G17"/>
    <mergeCell ref="A20:G20"/>
    <mergeCell ref="A23:E23"/>
    <mergeCell ref="A25:G2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500 Users per Month</vt:lpstr>
      <vt:lpstr>AWS Self-Host 500 Users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Prathmesh Jadhav</cp:lastModifiedBy>
  <dcterms:created xsi:type="dcterms:W3CDTF">2026-05-03T00:24:00Z</dcterms:created>
  <dcterms:modified xsi:type="dcterms:W3CDTF">2026-05-03T00:46:42Z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FD5C4456ABE49C75824BF6698728BF40_42</vt:lpwstr>
  </property>
  <property fmtid="{D5CDD505-2E9C-101B-9397-08002B2CF9AE}" pid="3" name="KSOProductBuildVer">
    <vt:lpwstr>1033-6.13.1.8710</vt:lpwstr>
  </property>
</Properties>
</file>