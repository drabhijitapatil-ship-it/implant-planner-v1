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ivate Clinic Plans" sheetId="1" state="visible" r:id="rId3"/>
    <sheet name="Dental College Plans" sheetId="2" state="visible" r:id="rId4"/>
    <sheet name="College Quote Internal" sheetId="3" state="visible" r:id="rId5"/>
    <sheet name="College Quote Export" sheetId="4" state="visible" r:id="rId6"/>
    <sheet name="College Revenue Model" sheetId="5" state="visible" r:id="rId7"/>
    <sheet name="College Inputs" sheetId="6" state="visible" r:id="rId8"/>
    <sheet name="College Plans (old v1)" sheetId="7" state="visible" r:id="rId9"/>
  </sheets>
  <definedNames>
    <definedName function="false" hidden="false" localSheetId="3" name="_xlnm.Print_Area" vbProcedure="false">'College Quote Export'!$A$1:$E$68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6" authorId="0">
      <text>
        <r>
          <rPr>
            <sz val="10"/>
            <rFont val="Arial"/>
            <family val="2"/>
          </rPr>
          <t xml:space="preserve">User-stated cost: Rs 2,000–4,000 per college. Split here per licence so a 3-licence college costs about Rs 3,000–4,500 a month. Read as PER MONTH (cautious). If you meant per year, divide by 12.</t>
        </r>
      </text>
    </comment>
  </commentList>
</comments>
</file>

<file path=xl/sharedStrings.xml><?xml version="1.0" encoding="utf-8"?>
<sst xmlns="http://schemas.openxmlformats.org/spreadsheetml/2006/main" count="771" uniqueCount="515">
  <si>
    <t xml:space="preserve">Implanr — Private Clinic Subscription Plans</t>
  </si>
  <si>
    <t xml:space="preserve">Premium implant workflow platform. Less than the cost of one implant case per month.</t>
  </si>
  <si>
    <t xml:space="preserve">SOLO</t>
  </si>
  <si>
    <t xml:space="preserve">CLINIC</t>
  </si>
  <si>
    <t xml:space="preserve">SPECIALIST</t>
  </si>
  <si>
    <t xml:space="preserve">ENTERPRISE</t>
  </si>
  <si>
    <t xml:space="preserve">CHAIN / GROUP
50+ users
Custom Pricing
Call us</t>
  </si>
  <si>
    <t xml:space="preserve">Built for the solo
implantologist</t>
  </si>
  <si>
    <t xml:space="preserve">The complete
clinic workflow</t>
  </si>
  <si>
    <t xml:space="preserve">For high-volume
implant centres</t>
  </si>
  <si>
    <t xml:space="preserve">Multi-branch
clinic group</t>
  </si>
  <si>
    <t xml:space="preserve">1-3 users</t>
  </si>
  <si>
    <t xml:space="preserve">4-10 users</t>
  </si>
  <si>
    <t xml:space="preserve">11-25 users</t>
  </si>
  <si>
    <t xml:space="preserve">26-50 users</t>
  </si>
  <si>
    <t xml:space="preserve">Rs 3,500/mo</t>
  </si>
  <si>
    <t xml:space="preserve">Rs 6,000/mo</t>
  </si>
  <si>
    <t xml:space="preserve">Rs 10,000/mo</t>
  </si>
  <si>
    <t xml:space="preserve">Rs 18,000/mo</t>
  </si>
  <si>
    <t xml:space="preserve">Rs 35,000/yr
(save Rs 7,000)</t>
  </si>
  <si>
    <t xml:space="preserve">Rs 60,000/yr
(save Rs 12,000)</t>
  </si>
  <si>
    <t xml:space="preserve">Rs 1,00,000/yr
(save Rs 20,000)</t>
  </si>
  <si>
    <t xml:space="preserve">Rs 1,80,000/yr
(save Rs 36,000)</t>
  </si>
  <si>
    <t xml:space="preserve">Just Rs 117/day — less than one implant case/month</t>
  </si>
  <si>
    <t xml:space="preserve">Just Rs 200/day — less than one implant case/month</t>
  </si>
  <si>
    <t xml:space="preserve">Just Rs 333/day — less than one implant case/month</t>
  </si>
  <si>
    <t xml:space="preserve">Just Rs 600/day — less than one implant case/month</t>
  </si>
  <si>
    <t xml:space="preserve">WHAT IS INCLUDED IN EVERY PLAN</t>
  </si>
  <si>
    <t xml:space="preserve">Feature</t>
  </si>
  <si>
    <t xml:space="preserve">Solo</t>
  </si>
  <si>
    <t xml:space="preserve">Clinic</t>
  </si>
  <si>
    <t xml:space="preserve">Enterprise</t>
  </si>
  <si>
    <t xml:space="preserve">iOS + Android App</t>
  </si>
  <si>
    <t xml:space="preserve">Yes</t>
  </si>
  <si>
    <t xml:space="preserve">Implant Case Management</t>
  </si>
  <si>
    <t xml:space="preserve">CBCT File Upload &amp; Viewing</t>
  </si>
  <si>
    <t xml:space="preserve">AI-Assisted Treatment Planning</t>
  </si>
  <si>
    <t xml:space="preserve">No</t>
  </si>
  <si>
    <t xml:space="preserve">AI-Assisted Summery</t>
  </si>
  <si>
    <t xml:space="preserve">PDF Report Generation</t>
  </si>
  <si>
    <t xml:space="preserve">Push Notifications</t>
  </si>
  <si>
    <t xml:space="preserve">Patient Records &amp; History</t>
  </si>
  <si>
    <t xml:space="preserve">Multi-Role Team Access</t>
  </si>
  <si>
    <t xml:space="preserve">Limited</t>
  </si>
  <si>
    <t xml:space="preserve">Clinic Admin Dashboard</t>
  </si>
  <si>
    <t xml:space="preserve">Analytics &amp; Case Reports</t>
  </si>
  <si>
    <t xml:space="preserve">Basic</t>
  </si>
  <si>
    <t xml:space="preserve">Standard</t>
  </si>
  <si>
    <t xml:space="preserve">Full</t>
  </si>
  <si>
    <t xml:space="preserve">Auto Lab Prescription Generation</t>
  </si>
  <si>
    <t xml:space="preserve">Priority Support</t>
  </si>
  <si>
    <t xml:space="preserve">Email</t>
  </si>
  <si>
    <t xml:space="preserve">Dedicated</t>
  </si>
  <si>
    <t xml:space="preserve">Data Export (CSV/PDF)</t>
  </si>
  <si>
    <t xml:space="preserve">API Access</t>
  </si>
  <si>
    <t xml:space="preserve">Onboarding &amp; Training</t>
  </si>
  <si>
    <t xml:space="preserve">1 session</t>
  </si>
  <si>
    <t xml:space="preserve">3 session</t>
  </si>
  <si>
    <t xml:space="preserve">Full onboarding</t>
  </si>
  <si>
    <t xml:space="preserve">Max Active Cases /month</t>
  </si>
  <si>
    <t xml:space="preserve">Unlimited</t>
  </si>
  <si>
    <t xml:space="preserve">ADD-ON USERS — Rs 500/extra user/month (Solo) | Rs 450 (Clinic) | Rs 400 (Specialist) | Rs 350 (Enterprise)</t>
  </si>
  <si>
    <t xml:space="preserve">Implanr — Dental College Subscription Plans  (internal rate card: every college gets its own quote)</t>
  </si>
  <si>
    <t xml:space="preserve">One licence per implant department, Centralised Implant Clinic or Unit, sized by the PG students on its roll across all three years. Every tier has every feature; tiers differ only in size. Fellows and interns are added separately.</t>
  </si>
  <si>
    <t xml:space="preserve">University / Group</t>
  </si>
  <si>
    <t xml:space="preserve">MDS seats per year</t>
  </si>
  <si>
    <t xml:space="preserve">Several colleges</t>
  </si>
  <si>
    <t xml:space="preserve">Licence for</t>
  </si>
  <si>
    <t xml:space="preserve">One department, Centralised Implant Clinic or Unit</t>
  </si>
  <si>
    <t xml:space="preserve">Every licence across member colleges</t>
  </si>
  <si>
    <t xml:space="preserve">PG students on roll (all 3 years)</t>
  </si>
  <si>
    <t xml:space="preserve">Each licence on its tier</t>
  </si>
  <si>
    <t xml:space="preserve">Supervisors / guides included</t>
  </si>
  <si>
    <t xml:space="preserve">Per licence tier</t>
  </si>
  <si>
    <t xml:space="preserve">Implant in-charges included</t>
  </si>
  <si>
    <t xml:space="preserve">College admins included</t>
  </si>
  <si>
    <t xml:space="preserve">Per licence tier + 1 group admin</t>
  </si>
  <si>
    <t xml:space="preserve">Annual price per licence</t>
  </si>
  <si>
    <t xml:space="preserve">per year + 18% GST</t>
  </si>
  <si>
    <t xml:space="preserve">per licence + GST</t>
  </si>
  <si>
    <t xml:space="preserve">Licence cost per PG per year (full tier)</t>
  </si>
  <si>
    <t xml:space="preserve">WHAT A WHOLE COLLEGE PAYS — examples before founding / government / 3-year discounts</t>
  </si>
  <si>
    <t xml:space="preserve">College set-up</t>
  </si>
  <si>
    <t xml:space="preserve">Licences</t>
  </si>
  <si>
    <t xml:space="preserve">List total</t>
  </si>
  <si>
    <t xml:space="preserve">Volume discount</t>
  </si>
  <si>
    <t xml:space="preserve">Licence fees</t>
  </si>
  <si>
    <t xml:space="preserve">Per PG per year</t>
  </si>
  <si>
    <t xml:space="preserve">3 departments × Essential 9</t>
  </si>
  <si>
    <t xml:space="preserve">3 departments × Standard 12</t>
  </si>
  <si>
    <t xml:space="preserve">3 departments × Advanced 18</t>
  </si>
  <si>
    <t xml:space="preserve">3 departments × Premier 24</t>
  </si>
  <si>
    <t xml:space="preserve">Prostho 12 + Perio 9 + OMFS 9</t>
  </si>
  <si>
    <t xml:space="preserve">One Centralised Implant Clinic, 24 PGs</t>
  </si>
  <si>
    <t xml:space="preserve">EXTRA USERS AND STUDENTS (per person per year + GST)</t>
  </si>
  <si>
    <t xml:space="preserve">Item</t>
  </si>
  <si>
    <t xml:space="preserve">Price</t>
  </si>
  <si>
    <t xml:space="preserve">When it applies</t>
  </si>
  <si>
    <t xml:space="preserve">Extra supervisor / guide</t>
  </si>
  <si>
    <t xml:space="preserve">Beyond the supervisors included across all the college's licences (allowances are pooled).</t>
  </si>
  <si>
    <t xml:space="preserve">Extra implant in-charge</t>
  </si>
  <si>
    <t xml:space="preserve">Beyond the in-charges included across all licences.</t>
  </si>
  <si>
    <t xml:space="preserve">Extra college admin</t>
  </si>
  <si>
    <t xml:space="preserve">Beyond the admins included across all licences.</t>
  </si>
  <si>
    <t xml:space="preserve">Extra PG student</t>
  </si>
  <si>
    <t xml:space="preserve">Only above 24 PGs on one Premier 24 licence (e.g. a large Centralised Implant Clinic).</t>
  </si>
  <si>
    <t xml:space="preserve">Fellow in Implantology</t>
  </si>
  <si>
    <t xml:space="preserve">Per fellow; counted separately from MDS students.</t>
  </si>
  <si>
    <t xml:space="preserve">Management viewer (Dean, Principal, HOD)</t>
  </si>
  <si>
    <t xml:space="preserve">Free</t>
  </si>
  <si>
    <t xml:space="preserve">Free, read-only, up to 3 per college.</t>
  </si>
  <si>
    <t xml:space="preserve">INTERN IMPLANT PROGRAMME — interns who place implants (observing and assisting are free)</t>
  </si>
  <si>
    <t xml:space="preserve">Interns per year</t>
  </si>
  <si>
    <t xml:space="preserve">Annual price</t>
  </si>
  <si>
    <t xml:space="preserve">Per intern</t>
  </si>
  <si>
    <t xml:space="preserve">OTHER ADD-ONS</t>
  </si>
  <si>
    <t xml:space="preserve">Add-on</t>
  </si>
  <si>
    <t xml:space="preserve">Unit</t>
  </si>
  <si>
    <t xml:space="preserve">Why the college buys it</t>
  </si>
  <si>
    <t xml:space="preserve">Research Module</t>
  </si>
  <si>
    <t xml:space="preserve">per college / year</t>
  </si>
  <si>
    <t xml:space="preserve">Dissertation studies run inside the case records from the first enrolment.</t>
  </si>
  <si>
    <t xml:space="preserve">Onboarding &amp; setup (one-time)</t>
  </si>
  <si>
    <t xml:space="preserve">per new college</t>
  </si>
  <si>
    <t xml:space="preserve">In-person launch visit and setup. Waived on 3-year contracts.</t>
  </si>
  <si>
    <t xml:space="preserve">Extra image storage</t>
  </si>
  <si>
    <t xml:space="preserve">per 100 GB / year</t>
  </si>
  <si>
    <t xml:space="preserve">Only above the fair-use limit per licence.</t>
  </si>
  <si>
    <t xml:space="preserve">WHAT EVERY LICENCE INCLUDES</t>
  </si>
  <si>
    <t xml:space="preserve">Every licence</t>
  </si>
  <si>
    <t xml:space="preserve">iOS + Android app</t>
  </si>
  <si>
    <t xml:space="preserve">Implant case record — all 5 phases, unlimited cases</t>
  </si>
  <si>
    <t xml:space="preserve">CBCT upload and viewing</t>
  </si>
  <si>
    <t xml:space="preserve">AI-assisted treatment planning and case summary</t>
  </si>
  <si>
    <t xml:space="preserve">Supervisor approval gates + immutable audit trail</t>
  </si>
  <si>
    <t xml:space="preserve">PDF reports and auto lab prescription</t>
  </si>
  <si>
    <t xml:space="preserve">Lifetime maintenance recalls (Phase 5)</t>
  </si>
  <si>
    <t xml:space="preserve">Unit dashboard and analytics</t>
  </si>
  <si>
    <t xml:space="preserve">College-wide dashboard (2 or more licences)</t>
  </si>
  <si>
    <t xml:space="preserve">Consolidated multi-college dashboard</t>
  </si>
  <si>
    <t xml:space="preserve">—</t>
  </si>
  <si>
    <t xml:space="preserve">Data export (CSV / PDF), any time</t>
  </si>
  <si>
    <t xml:space="preserve">API access</t>
  </si>
  <si>
    <t xml:space="preserve">Onboarding (in person + remote) and retraining for each new PG batch</t>
  </si>
  <si>
    <t xml:space="preserve">Support</t>
  </si>
  <si>
    <t xml:space="preserve">Email + WhatsApp</t>
  </si>
  <si>
    <t xml:space="preserve">Dedicated manager</t>
  </si>
  <si>
    <t xml:space="preserve">USER ROLES</t>
  </si>
  <si>
    <t xml:space="preserve">Role</t>
  </si>
  <si>
    <t xml:space="preserve">What they can do</t>
  </si>
  <si>
    <t xml:space="preserve">How counted</t>
  </si>
  <si>
    <t xml:space="preserve">PG student</t>
  </si>
  <si>
    <t xml:space="preserve">Creates and runs own cases, CBCT upload, documentation, AI notes, reports.</t>
  </si>
  <si>
    <t xml:space="preserve">Sets the tier (all 3 years)</t>
  </si>
  <si>
    <t xml:space="preserve">Fellow</t>
  </si>
  <si>
    <t xml:space="preserve">Same as a PG student.</t>
  </si>
  <si>
    <t xml:space="preserve">Per fellow, separately</t>
  </si>
  <si>
    <t xml:space="preserve">Intern — observe / assist</t>
  </si>
  <si>
    <t xml:space="preserve">Views cases; logged as assistant on supervised cases.</t>
  </si>
  <si>
    <t xml:space="preserve">Intern — places implants</t>
  </si>
  <si>
    <t xml:space="preserve">Own supervised cases (2–5 implants), full approval trail.</t>
  </si>
  <si>
    <t xml:space="preserve">Intern Programme tier</t>
  </si>
  <si>
    <t xml:space="preserve">Supervisor / guide</t>
  </si>
  <si>
    <t xml:space="preserve">Approves each phase, adds review notes, runs case reports.</t>
  </si>
  <si>
    <t xml:space="preserve">Included per tier; extra per user</t>
  </si>
  <si>
    <t xml:space="preserve">Implant in-charge</t>
  </si>
  <si>
    <t xml:space="preserve">Unit dashboard, enrols users, manages supervisors, academic export, audit trail.</t>
  </si>
  <si>
    <t xml:space="preserve">College admin</t>
  </si>
  <si>
    <t xml:space="preserve">All accounts, college-wide reports, compliance exports, college audit report.</t>
  </si>
  <si>
    <t xml:space="preserve">Management viewer</t>
  </si>
  <si>
    <t xml:space="preserve">Dean, Principal, HOD: read-only dashboards and reports.</t>
  </si>
  <si>
    <t xml:space="preserve">Free, up to 3</t>
  </si>
  <si>
    <t xml:space="preserve">COMMERCIAL TERMS</t>
  </si>
  <si>
    <t xml:space="preserve">INTERNAL — never send this sheet. Fill the yellow cells (blue text); everything else calculates from College Inputs. The college's copy is the College Quote Export tab, which fills itself from this sheet.</t>
  </si>
  <si>
    <t xml:space="preserve">COLLEGE DETAILS</t>
  </si>
  <si>
    <t xml:space="preserve">QUOTE DOCUMENT DETAILS (printed on the export)</t>
  </si>
  <si>
    <t xml:space="preserve">College name</t>
  </si>
  <si>
    <t xml:space="preserve">Example Dental College</t>
  </si>
  <si>
    <t xml:space="preserve">Quote reference</t>
  </si>
  <si>
    <t xml:space="preserve">IMP-Q-2026-001</t>
  </si>
  <si>
    <t xml:space="preserve">College type</t>
  </si>
  <si>
    <t xml:space="preserve">Private</t>
  </si>
  <si>
    <t xml:space="preserve">Quote date</t>
  </si>
  <si>
    <t xml:space="preserve">University group buying for several colleges?</t>
  </si>
  <si>
    <t xml:space="preserve">Valid for (days)</t>
  </si>
  <si>
    <t xml:space="preserve">Founding institution?</t>
  </si>
  <si>
    <t xml:space="preserve">Valid until</t>
  </si>
  <si>
    <t xml:space="preserve">Contract term (years)</t>
  </si>
  <si>
    <t xml:space="preserve">3 = prepaid for 3 years: discount applies, setup fee waived.</t>
  </si>
  <si>
    <t xml:space="preserve">Prepared by</t>
  </si>
  <si>
    <t xml:space="preserve">Dr. Abhijit Patil</t>
  </si>
  <si>
    <t xml:space="preserve">New customer (setup fee applies)?</t>
  </si>
  <si>
    <t xml:space="preserve">Designation</t>
  </si>
  <si>
    <t xml:space="preserve">Founder, Implanr, Prosthodontist and Implantologist</t>
  </si>
  <si>
    <t xml:space="preserve">Extra negotiated discount</t>
  </si>
  <si>
    <t xml:space="preserve">Stacks with founding / government / 3-year up to the cap.</t>
  </si>
  <si>
    <t xml:space="preserve">info@implanr.com</t>
  </si>
  <si>
    <t xml:space="preserve">Research Module wanted?</t>
  </si>
  <si>
    <t xml:space="preserve">Phone</t>
  </si>
  <si>
    <t xml:space="preserve">Fellows in Implantology (0 if none)</t>
  </si>
  <si>
    <t xml:space="preserve">Payment terms</t>
  </si>
  <si>
    <t xml:space="preserve">100% in advance, within 30 days of invoice</t>
  </si>
  <si>
    <t xml:space="preserve">Interns placing implants per year (0 if none)</t>
  </si>
  <si>
    <t xml:space="preserve">Priced in tiers of 20 / 40 / 60 / 80 / 100.</t>
  </si>
  <si>
    <t xml:space="preserve">Website</t>
  </si>
  <si>
    <t xml:space="preserve">implanr.com</t>
  </si>
  <si>
    <t xml:space="preserve">LICENCES — one row per department, Centralised Implant Clinic or Unit (leave students at 0 for unused rows)</t>
  </si>
  <si>
    <t xml:space="preserve">Tier</t>
  </si>
  <si>
    <t xml:space="preserve">Annual price (list)</t>
  </si>
  <si>
    <t xml:space="preserve">Extra PG students</t>
  </si>
  <si>
    <t xml:space="preserve">Extra student charge</t>
  </si>
  <si>
    <t xml:space="preserve">Supervisors incl.</t>
  </si>
  <si>
    <t xml:space="preserve">In-charges incl.</t>
  </si>
  <si>
    <t xml:space="preserve">Admins incl.</t>
  </si>
  <si>
    <t xml:space="preserve">Your cost (Rs / yr)</t>
  </si>
  <si>
    <t xml:space="preserve">Prosthodontics</t>
  </si>
  <si>
    <t xml:space="preserve">Periodontology</t>
  </si>
  <si>
    <t xml:space="preserve">Oral &amp; Maxillofacial Surgery</t>
  </si>
  <si>
    <t xml:space="preserve">Total</t>
  </si>
  <si>
    <t xml:space="preserve">USERS — included allowances are pooled across all licences</t>
  </si>
  <si>
    <t xml:space="preserve">Included (all licences)</t>
  </si>
  <si>
    <t xml:space="preserve">Total the college needs</t>
  </si>
  <si>
    <t xml:space="preserve">Extra users</t>
  </si>
  <si>
    <t xml:space="preserve">Price / extra user</t>
  </si>
  <si>
    <t xml:space="preserve">Extra-user charge</t>
  </si>
  <si>
    <t xml:space="preserve">Your cost</t>
  </si>
  <si>
    <t xml:space="preserve">Supervisors / guides</t>
  </si>
  <si>
    <t xml:space="preserve">Implant in-charges</t>
  </si>
  <si>
    <t xml:space="preserve">College admins</t>
  </si>
  <si>
    <t xml:space="preserve">Management viewers (Dean, Principal, HOD)</t>
  </si>
  <si>
    <t xml:space="preserve">QUOTE</t>
  </si>
  <si>
    <t xml:space="preserve">Licence fees (list, incl. extra students)</t>
  </si>
  <si>
    <t xml:space="preserve">Volume / group discount on licence fees</t>
  </si>
  <si>
    <t xml:space="preserve">2 licences / 3 or more / university group.</t>
  </si>
  <si>
    <t xml:space="preserve">Licence fees after volume discount</t>
  </si>
  <si>
    <t xml:space="preserve">Intern Implant Programme</t>
  </si>
  <si>
    <t xml:space="preserve">Fellows</t>
  </si>
  <si>
    <t xml:space="preserve">Annual subtotal</t>
  </si>
  <si>
    <t xml:space="preserve">Commercial discount</t>
  </si>
  <si>
    <t xml:space="preserve">Founding + government + 3-year + negotiated, capped.</t>
  </si>
  <si>
    <t xml:space="preserve">Less: commercial discount</t>
  </si>
  <si>
    <t xml:space="preserve">Net annual fee (excl GST)</t>
  </si>
  <si>
    <t xml:space="preserve">The number to quote.</t>
  </si>
  <si>
    <t xml:space="preserve">One-time onboarding &amp; setup fee</t>
  </si>
  <si>
    <t xml:space="preserve">Waived on 3-year contracts.</t>
  </si>
  <si>
    <t xml:space="preserve">Invoice on signing (excl GST)</t>
  </si>
  <si>
    <t xml:space="preserve">3-year contracts are invoiced upfront.</t>
  </si>
  <si>
    <t xml:space="preserve">GST</t>
  </si>
  <si>
    <t xml:space="preserve">Invoice on signing (incl GST)</t>
  </si>
  <si>
    <t xml:space="preserve">Next year's renewal fee (excl GST)</t>
  </si>
  <si>
    <t xml:space="preserve">Founding colleges keep the same price for 3 years.</t>
  </si>
  <si>
    <t xml:space="preserve">Licence cost per PG per year</t>
  </si>
  <si>
    <t xml:space="preserve">A useful line for the Dean.</t>
  </si>
  <si>
    <t xml:space="preserve">YOUR MARGIN — internal, do not show the college</t>
  </si>
  <si>
    <t xml:space="preserve">Your running cost per year</t>
  </si>
  <si>
    <t xml:space="preserve">Licences + extra users + interns + fellows + research + yearly retraining.</t>
  </si>
  <si>
    <t xml:space="preserve">First-year onboarding travel</t>
  </si>
  <si>
    <t xml:space="preserve">Year-1 gross profit</t>
  </si>
  <si>
    <t xml:space="preserve">Year-1 gross margin</t>
  </si>
  <si>
    <t xml:space="preserve">Ongoing gross margin (year 2 onward)</t>
  </si>
  <si>
    <t xml:space="preserve">Quote check</t>
  </si>
  <si>
    <t xml:space="preserve">WORDING USED ON THE EXPORT (automatic — no need to edit)</t>
  </si>
  <si>
    <t xml:space="preserve">Volume discount wording</t>
  </si>
  <si>
    <t xml:space="preserve">Commercial discount parts</t>
  </si>
  <si>
    <t xml:space="preserve">Commercial discount wording</t>
  </si>
  <si>
    <t xml:space="preserve">Contract term wording</t>
  </si>
  <si>
    <t xml:space="preserve">AI-assisted digital platform for dental implant case planning, supervised clinical training, documentation and long-term outcome surveillance</t>
  </si>
  <si>
    <t xml:space="preserve">Prepared for</t>
  </si>
  <si>
    <t xml:space="preserve">Contract term</t>
  </si>
  <si>
    <t xml:space="preserve">Contact</t>
  </si>
  <si>
    <t xml:space="preserve">1.  LICENCES</t>
  </si>
  <si>
    <t xml:space="preserve">PG students (all 3 years)</t>
  </si>
  <si>
    <t xml:space="preserve">Users included (supervisors / in-charges / admins)</t>
  </si>
  <si>
    <t xml:space="preserve">2.  USERS</t>
  </si>
  <si>
    <t xml:space="preserve">Included</t>
  </si>
  <si>
    <t xml:space="preserve">Requested</t>
  </si>
  <si>
    <t xml:space="preserve">Additional users</t>
  </si>
  <si>
    <t xml:space="preserve">Annual charge</t>
  </si>
  <si>
    <t xml:space="preserve">Read-only</t>
  </si>
  <si>
    <t xml:space="preserve">3.  ADD-ONS</t>
  </si>
  <si>
    <t xml:space="preserve">Selection</t>
  </si>
  <si>
    <t xml:space="preserve">Fellows in Implantology</t>
  </si>
  <si>
    <t xml:space="preserve">Interns who only observe or assist on cases are included free.</t>
  </si>
  <si>
    <t xml:space="preserve">4.  PRICE SUMMARY (per year, unless stated)</t>
  </si>
  <si>
    <t xml:space="preserve">Licence fees (list price)</t>
  </si>
  <si>
    <t xml:space="preserve">Licence fees after discount</t>
  </si>
  <si>
    <t xml:space="preserve">Add-ons (interns, fellows, Research Module)</t>
  </si>
  <si>
    <t xml:space="preserve">Total payable on signing (incl GST)</t>
  </si>
  <si>
    <t xml:space="preserve">Renewal fee for the following year (excl GST)</t>
  </si>
  <si>
    <t xml:space="preserve">Works out to, per PG student per year (licence fees)</t>
  </si>
  <si>
    <t xml:space="preserve">5.  WHAT IS INCLUDED IN EVERY LICENCE</t>
  </si>
  <si>
    <t xml:space="preserve">•  Implant case record across all 5 phases — unlimited cases</t>
  </si>
  <si>
    <t xml:space="preserve">•  iOS and Android apps; CBCT upload and viewing</t>
  </si>
  <si>
    <t xml:space="preserve">•  AI-assisted treatment planning and case summaries</t>
  </si>
  <si>
    <t xml:space="preserve">•  Supervisor approval at every phase, with an immutable audit trail</t>
  </si>
  <si>
    <t xml:space="preserve">•  PDF reports and automatic lab prescriptions</t>
  </si>
  <si>
    <t xml:space="preserve">•  Lifetime maintenance recalls and outcome tracking</t>
  </si>
  <si>
    <t xml:space="preserve">•  Unit and college dashboards; full data export at any time</t>
  </si>
  <si>
    <t xml:space="preserve">•  Onboarding in person and remotely; retraining for every new PG batch</t>
  </si>
  <si>
    <t xml:space="preserve">6.  TERMS</t>
  </si>
  <si>
    <t xml:space="preserve">ACCEPTANCE</t>
  </si>
  <si>
    <t xml:space="preserve">For Implanr</t>
  </si>
  <si>
    <t xml:space="preserve">Name and designation:</t>
  </si>
  <si>
    <t xml:space="preserve">Signature:</t>
  </si>
  <si>
    <t xml:space="preserve">Signature and seal:</t>
  </si>
  <si>
    <t xml:space="preserve">Date:</t>
  </si>
  <si>
    <t xml:space="preserve">Implanr — College revenue and payback model (5 years, three scenarios)</t>
  </si>
  <si>
    <t xml:space="preserve">Money in Rs lakh, excluding GST, before income tax. Every number comes from College Inputs: change it there, not here.</t>
  </si>
  <si>
    <t xml:space="preserve">SUMMARY</t>
  </si>
  <si>
    <t xml:space="preserve">Scenario</t>
  </si>
  <si>
    <t xml:space="preserve">Active colleges Y1</t>
  </si>
  <si>
    <t xml:space="preserve">Active colleges Y3</t>
  </si>
  <si>
    <t xml:space="preserve">Active colleges Y5</t>
  </si>
  <si>
    <t xml:space="preserve">Revenue Y3 (Rs lakh)</t>
  </si>
  <si>
    <t xml:space="preserve">Net profit Y3 (Rs lakh)</t>
  </si>
  <si>
    <t xml:space="preserve">5-year net profit (Rs lakh)</t>
  </si>
  <si>
    <t xml:space="preserve">Rs 10 lakh recovered in</t>
  </si>
  <si>
    <t xml:space="preserve">Conservative</t>
  </si>
  <si>
    <t xml:space="preserve">Base</t>
  </si>
  <si>
    <t xml:space="preserve">Optimistic</t>
  </si>
  <si>
    <t xml:space="preserve">Gross profit per active college per year (base, Year 3, Rs lakh)</t>
  </si>
  <si>
    <t xml:space="preserve">Active colleges needed just to cover fixed expenses</t>
  </si>
  <si>
    <t xml:space="preserve">Active colleges needed to cover fixed expenses AND repay Rs 10 lakh in one year</t>
  </si>
  <si>
    <t xml:space="preserve">Market ceiling: all 289 colleges at the base Year-3 revenue per college (Rs lakh / year)</t>
  </si>
  <si>
    <t xml:space="preserve">CONSERVATIVE SCENARIO</t>
  </si>
  <si>
    <t xml:space="preserve">Rs lakh unless stated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</si>
  <si>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</si>
  <si>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</si>
  <si>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</si>
  <si>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</si>
  <si>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</si>
  <si>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New colleges signed</t>
  </si>
  <si>
    <t xml:space="preserve">Renewing colleges</t>
  </si>
  <si>
    <t xml:space="preserve">Active colleges</t>
  </si>
  <si>
    <t xml:space="preserve">Price index (annual increase)</t>
  </si>
  <si>
    <t xml:space="preserve">Average licence fees per college (Rs, after volume discount)</t>
  </si>
  <si>
    <t xml:space="preserve">Average extra-user charges per college (Rs)</t>
  </si>
  <si>
    <t xml:space="preserve">Average Intern Programme price (Rs)</t>
  </si>
  <si>
    <t xml:space="preserve">Average commercial discount</t>
  </si>
  <si>
    <t xml:space="preserve">Licence + extra-user revenue</t>
  </si>
  <si>
    <t xml:space="preserve">Intern Programme revenue</t>
  </si>
  <si>
    <t xml:space="preserve">Research Module revenue</t>
  </si>
  <si>
    <t xml:space="preserve">Fellowship revenue</t>
  </si>
  <si>
    <t xml:space="preserve">Setup fees</t>
  </si>
  <si>
    <t xml:space="preserve">TOTAL REVENUE</t>
  </si>
  <si>
    <t xml:space="preserve">Licence running cost</t>
  </si>
  <si>
    <t xml:space="preserve">Add-on running cost</t>
  </si>
  <si>
    <t xml:space="preserve">Onboarding travel (new colleges)</t>
  </si>
  <si>
    <t xml:space="preserve">Retraining visits (renewing colleges)</t>
  </si>
  <si>
    <t xml:space="preserve">GROSS PROFIT</t>
  </si>
  <si>
    <t xml:space="preserve">Gross margin</t>
  </si>
  <si>
    <t xml:space="preserve">Other fixed expenses</t>
  </si>
  <si>
    <t xml:space="preserve">NET PROFIT (before tax)</t>
  </si>
  <si>
    <t xml:space="preserve">Cumulative net profit</t>
  </si>
  <si>
    <t xml:space="preserve">Position after recovering the Rs 10 lakh investment</t>
  </si>
  <si>
    <t xml:space="preserve">BASE SCENARIO</t>
  </si>
  <si>
    <t xml:space="preserve">OPTIMISTIC SCENARIO</t>
  </si>
  <si>
    <t xml:space="preserve">Implanr — College pricing inputs (one source for the rate card, quote and model)</t>
  </si>
  <si>
    <t xml:space="preserve">Blue text = a number you can change.  Yellow fill = an assumption Claude made that you should check.  Black = formula.  Prices are per year, in rupees, excluding 18% GST.</t>
  </si>
  <si>
    <t xml:space="preserve">A.  LICENCE TIERS — one licence per department, Centralised Implant Clinic or Unit, sized by PG students on roll (all 3 years)</t>
  </si>
  <si>
    <t xml:space="preserve">PG students from</t>
  </si>
  <si>
    <t xml:space="preserve">PG students to (all 3 yrs)</t>
  </si>
  <si>
    <t xml:space="preserve">Supervisors included</t>
  </si>
  <si>
    <t xml:space="preserve">Annual price (Rs, excl GST)</t>
  </si>
  <si>
    <t xml:space="preserve">Your cost (Rs / month)</t>
  </si>
  <si>
    <t xml:space="preserve">Your cost (Rs / year)</t>
  </si>
  <si>
    <t xml:space="preserve">Note</t>
  </si>
  <si>
    <t xml:space="preserve">Essential 9</t>
  </si>
  <si>
    <t xml:space="preserve">Seats, students and staff numbers: user-stated. Price: Claude's recommendation.</t>
  </si>
  <si>
    <t xml:space="preserve">Standard 12</t>
  </si>
  <si>
    <t xml:space="preserve">Advanced 18</t>
  </si>
  <si>
    <t xml:space="preserve">Premier 24</t>
  </si>
  <si>
    <t xml:space="preserve">B.  EXTRA USERS, EXTRA STUDENTS AND FELLOWS (per person per year)</t>
  </si>
  <si>
    <t xml:space="preserve">Price (Rs / yr)</t>
  </si>
  <si>
    <t xml:space="preserve">Same as your earlier Rs 250 a month faculty add-on.</t>
  </si>
  <si>
    <t xml:space="preserve">In-charges see the unit dashboard and manage its users.</t>
  </si>
  <si>
    <t xml:space="preserve">Same as your earlier Rs 400 a month admin add-on, rounded.</t>
  </si>
  <si>
    <t xml:space="preserve">Extra PG student above 24 on one licence</t>
  </si>
  <si>
    <t xml:space="preserve">Only for a Premier 24 licence holding more than 24 PGs, e.g. a large Centralised Implant Clinic.</t>
  </si>
  <si>
    <t xml:space="preserve">Fellow (Fellowship in Implantology)</t>
  </si>
  <si>
    <t xml:space="preserve">Counted separately from MDS students (user-stated).</t>
  </si>
  <si>
    <t xml:space="preserve">Management viewer (Dean, Principal, HOD) — read-only</t>
  </si>
  <si>
    <t xml:space="preserve">Free, up to 3 per college. The people who sign the cheque should see the dashboard.</t>
  </si>
  <si>
    <t xml:space="preserve">C.  INTERN IMPLANT PROGRAMME — interns who place implants (observing and assisting stay free)</t>
  </si>
  <si>
    <t xml:space="preserve">Interns from</t>
  </si>
  <si>
    <t xml:space="preserve">Interns to</t>
  </si>
  <si>
    <t xml:space="preserve">Annual price (Rs)</t>
  </si>
  <si>
    <t xml:space="preserve">Price per intern</t>
  </si>
  <si>
    <t xml:space="preserve">Interns 20</t>
  </si>
  <si>
    <t xml:space="preserve">Interns place 2–5 implants each (user-stated), so 20 interns = 40–100 extra cases a year.</t>
  </si>
  <si>
    <t xml:space="preserve">Interns 40</t>
  </si>
  <si>
    <t xml:space="preserve">Interns 60</t>
  </si>
  <si>
    <t xml:space="preserve">Interns 80</t>
  </si>
  <si>
    <t xml:space="preserve">Interns 100</t>
  </si>
  <si>
    <t xml:space="preserve">Above 100 interns — per extra intern</t>
  </si>
  <si>
    <t xml:space="preserve">Added to the Interns 100 price.</t>
  </si>
  <si>
    <t xml:space="preserve">Your cost per intern per year</t>
  </si>
  <si>
    <t xml:space="preserve">Assumption: storage and AI for 2–5 extra cases per intern.</t>
  </si>
  <si>
    <t xml:space="preserve">D.  OTHER ADD-ONS AND ONE-TIME FEES</t>
  </si>
  <si>
    <t xml:space="preserve">Research Module (per college)</t>
  </si>
  <si>
    <t xml:space="preserve">Paid add-on (your decision of 14 Oct 2026).</t>
  </si>
  <si>
    <t xml:space="preserve">Onboarding &amp; setup fee (one-time, per new college)</t>
  </si>
  <si>
    <t xml:space="preserve">Covers your in-person launch visit; cost = your travel. Waived on 3-year contracts.</t>
  </si>
  <si>
    <t xml:space="preserve">Annual retraining for the new PG batch (per college)</t>
  </si>
  <si>
    <t xml:space="preserve">Included in the licence (in person + remote, user-stated). Cost = your travel and time.</t>
  </si>
  <si>
    <t xml:space="preserve">Extra image storage above fair use (per 100 GB)</t>
  </si>
  <si>
    <t xml:space="preserve">See fair-use limit in section E.</t>
  </si>
  <si>
    <t xml:space="preserve">E.  DISCOUNTS AND COMMERCIAL TERMS</t>
  </si>
  <si>
    <t xml:space="preserve">Term</t>
  </si>
  <si>
    <t xml:space="preserve">Value</t>
  </si>
  <si>
    <t xml:space="preserve">Volume discount — 2 licences</t>
  </si>
  <si>
    <t xml:space="preserve">On licence fees, e.g. Prosthodontics + Periodontology.</t>
  </si>
  <si>
    <t xml:space="preserve">Volume discount — 3 or more licences</t>
  </si>
  <si>
    <t xml:space="preserve">On licence fees, e.g. all three departments, or a central clinic plus units.</t>
  </si>
  <si>
    <t xml:space="preserve">University / group discount</t>
  </si>
  <si>
    <t xml:space="preserve">Replaces the volume discount when higher (they do not stack).</t>
  </si>
  <si>
    <t xml:space="preserve">Founding-institution discount</t>
  </si>
  <si>
    <t xml:space="preserve">Price locked for 3 years, in return for a case study and reference visits.</t>
  </si>
  <si>
    <t xml:space="preserve">Founding slots (colleges)</t>
  </si>
  <si>
    <t xml:space="preserve">Close the offer after this many colleges.</t>
  </si>
  <si>
    <t xml:space="preserve">Government college discount</t>
  </si>
  <si>
    <t xml:space="preserve">Government colleges buy through GeM / tender.</t>
  </si>
  <si>
    <t xml:space="preserve">3-year prepaid discount</t>
  </si>
  <si>
    <t xml:space="preserve">Paid upfront for 3 years; setup fee waived.</t>
  </si>
  <si>
    <t xml:space="preserve">Maximum combined commercial discount</t>
  </si>
  <si>
    <t xml:space="preserve">Cap on founding + government + 3-year + negotiated. Volume / group discount is applied first, separately.</t>
  </si>
  <si>
    <t xml:space="preserve">Annual price increase on renewal</t>
  </si>
  <si>
    <t xml:space="preserve">Not applied to founding colleges during their 3 locked years.</t>
  </si>
  <si>
    <t xml:space="preserve">Charged on top of every invoice.</t>
  </si>
  <si>
    <t xml:space="preserve">Minimum ongoing gross margin on any quote</t>
  </si>
  <si>
    <t xml:space="preserve">The quote warns you below this.</t>
  </si>
  <si>
    <t xml:space="preserve">Fair-use image storage per licence (GB)</t>
  </si>
  <si>
    <t xml:space="preserve">Assumption. Generous for 50–150 cases a year with CBCT; protects you from one heavy user.</t>
  </si>
  <si>
    <t xml:space="preserve">F.  REVENUE MODEL ASSUMPTIONS</t>
  </si>
  <si>
    <t xml:space="preserve">Assumption</t>
  </si>
  <si>
    <t xml:space="preserve">Source</t>
  </si>
  <si>
    <t xml:space="preserve">Initial investment to recover (Rs)</t>
  </si>
  <si>
    <t xml:space="preserve">User-stated.</t>
  </si>
  <si>
    <t xml:space="preserve">Other fixed expenses per year (Rs)</t>
  </si>
  <si>
    <t xml:space="preserve">Assumption: base servers, app stores, development, marketing, sales travel, legal. Replace with your figure.</t>
  </si>
  <si>
    <t xml:space="preserve">Renewal rate</t>
  </si>
  <si>
    <t xml:space="preserve">Assumption.</t>
  </si>
  <si>
    <t xml:space="preserve">Dental colleges with MDS seats (market ceiling)</t>
  </si>
  <si>
    <t xml:space="preserve">Average licences per college</t>
  </si>
  <si>
    <t xml:space="preserve">Assumption: most take all 3 departments; some take 1, or a single Centralised Implant Clinic.</t>
  </si>
  <si>
    <t xml:space="preserve">Average volume discount on licence fees</t>
  </si>
  <si>
    <t xml:space="preserve">Assumption, consistent with 2.5 licences a college.</t>
  </si>
  <si>
    <t xml:space="preserve">Average extra-user charges per college (Rs / yr)</t>
  </si>
  <si>
    <t xml:space="preserve">Assumption: about 3 extra supervisors.</t>
  </si>
  <si>
    <t xml:space="preserve">Share of colleges taking the Intern Implant Programme</t>
  </si>
  <si>
    <t xml:space="preserve">Assumption: colleges that let interns place implants.</t>
  </si>
  <si>
    <t xml:space="preserve">Share taking the Research Module</t>
  </si>
  <si>
    <t xml:space="preserve">Share with an implant fellowship</t>
  </si>
  <si>
    <t xml:space="preserve">Fellows per such college</t>
  </si>
  <si>
    <t xml:space="preserve">Share of new colleges paying the setup fee</t>
  </si>
  <si>
    <t xml:space="preserve">Assumption: the rest sign 3-year contracts.</t>
  </si>
  <si>
    <t xml:space="preserve">Mix of licences by tier</t>
  </si>
  <si>
    <t xml:space="preserve">Share</t>
  </si>
  <si>
    <t xml:space="preserve">Total (must be 100%)</t>
  </si>
  <si>
    <t xml:space="preserve">Mix of Intern Programme tiers</t>
  </si>
  <si>
    <t xml:space="preserve">Average commercial discount, by year</t>
  </si>
  <si>
    <t xml:space="preserve">Average across all active colleges</t>
  </si>
  <si>
    <t xml:space="preserve">Assumption: year 1 is mostly founding colleges.</t>
  </si>
  <si>
    <t xml:space="preserve">New colleges signed per year</t>
  </si>
  <si>
    <t xml:space="preserve">Assumption. Replace with your own targets.</t>
  </si>
  <si>
    <t xml:space="preserve">Implanr — Dental College Subscription Plans</t>
  </si>
  <si>
    <t xml:space="preserve">Institution-wide access. Priced per college, not per student — unlimited case learning for every resident.</t>
  </si>
  <si>
    <t xml:space="preserve">DEPARTMENT/UNIT</t>
  </si>
  <si>
    <t xml:space="preserve">COLLEGE</t>
  </si>
  <si>
    <t xml:space="preserve">University</t>
  </si>
  <si>
    <t xml:space="preserve">Need a
custom quote?
WhatsApp
our team</t>
  </si>
  <si>
    <t xml:space="preserve">Single implant dept
(Oral Surgery / Prostho/ Periodontology)</t>
  </si>
  <si>
    <t xml:space="preserve">Postgraduate students
all implant depts</t>
  </si>
  <si>
    <t xml:space="preserve">Postgraduat and Undergraduate students</t>
  </si>
  <si>
    <t xml:space="preserve">Multiple dental colleges under one university</t>
  </si>
  <si>
    <t xml:space="preserve">Up to 25 students
5 faculty + 1 admin</t>
  </si>
  <si>
    <t xml:space="preserve">Up to 50 students
12 faculty + 2 admin</t>
  </si>
  <si>
    <t xml:space="preserve">Up to 125 students
20 faculty + 2 admin</t>
  </si>
  <si>
    <t xml:space="preserve">Unlimited users
Full data export</t>
  </si>
  <si>
    <t xml:space="preserve">Rs 8,000/mo</t>
  </si>
  <si>
    <t xml:space="preserve">Rs 12,000/mo</t>
  </si>
  <si>
    <t xml:space="preserve">Rs 25,000/mo</t>
  </si>
  <si>
    <t xml:space="preserve">Custom</t>
  </si>
  <si>
    <t xml:space="preserve">Rs 70,000/yr
(save Rs 16,000)</t>
  </si>
  <si>
    <t xml:space="preserve">Rs 1,20,000/yr
(save Rs 24,000)</t>
  </si>
  <si>
    <t xml:space="preserve">Rs 2,50,000/yr
(save Rs 50,000)</t>
  </si>
  <si>
    <t xml:space="preserve">Just Rs 320/student/month</t>
  </si>
  <si>
    <t xml:space="preserve">Just Rs 240/student/month</t>
  </si>
  <si>
    <t xml:space="preserve">Just Rs 200/student/month</t>
  </si>
  <si>
    <t xml:space="preserve">USER ROLES — WHO GETS ACCESS AND WHAT THEY CAN DO</t>
  </si>
  <si>
    <t xml:space="preserve">User Role</t>
  </si>
  <si>
    <t xml:space="preserve">What They Can Do</t>
  </si>
  <si>
    <t xml:space="preserve">Dept</t>
  </si>
  <si>
    <t xml:space="preserve">College</t>
  </si>
  <si>
    <t xml:space="preserve">Research</t>
  </si>
  <si>
    <t xml:space="preserve">Count (Dept)</t>
  </si>
  <si>
    <t xml:space="preserve">Count (College)</t>
  </si>
  <si>
    <t xml:space="preserve">Count (Univ)</t>
  </si>
  <si>
    <t xml:space="preserve">Student / PG Student/ Fellow </t>
  </si>
  <si>
    <t xml:space="preserve">Full case creation, CBCT upload, treatment documentation, AI notes, report generation. Their own patient cases.</t>
  </si>
  <si>
    <t xml:space="preserve">Up to 25</t>
  </si>
  <si>
    <t xml:space="preserve">Up to 75 or upto 100</t>
  </si>
  <si>
    <t xml:space="preserve">Up to 200</t>
  </si>
  <si>
    <t xml:space="preserve">Supervisor/Guide</t>
  </si>
  <si>
    <t xml:space="preserve">Supervise student cases, approve plans, add reviewer notes, run department case reports.</t>
  </si>
  <si>
    <t xml:space="preserve">Up to 5</t>
  </si>
  <si>
    <t xml:space="preserve">Up to 14 or upto 22</t>
  </si>
  <si>
    <t xml:space="preserve">Up to 75</t>
  </si>
  <si>
    <t xml:space="preserve">Department/ Unit In-Charge</t>
  </si>
  <si>
    <t xml:space="preserve">Full department view, analytics dashboard, faculty management, academic data export, department audit trail</t>
  </si>
  <si>
    <t xml:space="preserve">1</t>
  </si>
  <si>
    <t xml:space="preserve">Up to 6</t>
  </si>
  <si>
    <t xml:space="preserve">College Admin</t>
  </si>
  <si>
    <t xml:space="preserve">Institution-level access, all accounts, college-wide reports, compliance exports, college level audit report</t>
  </si>
  <si>
    <t xml:space="preserve">ADD-ON SEATS — Extra Student: Rs 100/mo  |  Extra Faculty: Rs 250/mo  |  Extra Admin: Rs 400/mo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</si>
</sst>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[&gt;=10000000]&quot;Rs &quot;##\,##\,##\,##0;[&gt;=100000]&quot;Rs &quot;##\,##\,##0;&quot;Rs &quot;##,##0"/>
    <numFmt numFmtId="167" formatCode="0%;\(0%\);\-"/>
    <numFmt numFmtId="168" formatCode="dd\ mmm\ yyyy"/>
    <numFmt numFmtId="169" formatCode="0%"/>
    <numFmt numFmtId="170" formatCode="0;\(0\);\-"/>
    <numFmt numFmtId="171" formatCode="&quot;•  &quot;@"/>
    <numFmt numFmtId="172" formatCode="0.00;\(0.00\);\-"/>
    <numFmt numFmtId="173" formatCode="0.00"/>
    <numFmt numFmtId="174" formatCode="0&quot; GB&quot;"/>
    <numFmt numFmtId="175" formatCode="0.0"/>
  </numFmts>
  <fonts count="7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34"/>
    </font>
    <font>
      <i val="true"/>
      <sz val="9"/>
      <color rgb="FF7F8C8D"/>
      <name val="Arial"/>
      <family val="0"/>
      <charset val="134"/>
    </font>
    <font>
      <b val="true"/>
      <sz val="14"/>
      <color rgb="FFFFFFFF"/>
      <name val="Arial"/>
      <family val="0"/>
      <charset val="134"/>
    </font>
    <font>
      <b val="true"/>
      <sz val="10"/>
      <color rgb="FFFFFFFF"/>
      <name val="Arial"/>
      <family val="0"/>
      <charset val="134"/>
    </font>
    <font>
      <i val="true"/>
      <sz val="9"/>
      <color rgb="FF555555"/>
      <name val="Arial"/>
      <family val="0"/>
      <charset val="134"/>
    </font>
    <font>
      <b val="true"/>
      <sz val="10"/>
      <color rgb="FF1E8449"/>
      <name val="Arial"/>
      <family val="0"/>
      <charset val="134"/>
    </font>
    <font>
      <b val="true"/>
      <sz val="10"/>
      <color rgb="FF1A6B8A"/>
      <name val="Arial"/>
      <family val="0"/>
      <charset val="134"/>
    </font>
    <font>
      <b val="true"/>
      <sz val="10"/>
      <color rgb="FF6C3483"/>
      <name val="Arial"/>
      <family val="0"/>
      <charset val="134"/>
    </font>
    <font>
      <b val="true"/>
      <sz val="10"/>
      <color rgb="FFB7860B"/>
      <name val="Arial"/>
      <family val="0"/>
      <charset val="134"/>
    </font>
    <font>
      <b val="true"/>
      <sz val="18"/>
      <color rgb="FF1E8449"/>
      <name val="Arial"/>
      <family val="0"/>
      <charset val="134"/>
    </font>
    <font>
      <b val="true"/>
      <sz val="18"/>
      <color rgb="FF1A6B8A"/>
      <name val="Arial"/>
      <family val="0"/>
      <charset val="134"/>
    </font>
    <font>
      <b val="true"/>
      <sz val="18"/>
      <color rgb="FF6C3483"/>
      <name val="Arial"/>
      <family val="0"/>
      <charset val="134"/>
    </font>
    <font>
      <b val="true"/>
      <sz val="18"/>
      <color rgb="FFB7860B"/>
      <name val="Arial"/>
      <family val="0"/>
      <charset val="134"/>
    </font>
    <font>
      <b val="true"/>
      <sz val="9"/>
      <color rgb="FF1E8449"/>
      <name val="Arial"/>
      <family val="0"/>
      <charset val="134"/>
    </font>
    <font>
      <i val="true"/>
      <sz val="8"/>
      <color rgb="FF888888"/>
      <name val="Arial"/>
      <family val="0"/>
      <charset val="134"/>
    </font>
    <font>
      <b val="true"/>
      <sz val="9"/>
      <color rgb="FFFFFFFF"/>
      <name val="Arial"/>
      <family val="0"/>
      <charset val="134"/>
    </font>
    <font>
      <b val="true"/>
      <sz val="9"/>
      <color rgb="FF1A1A1A"/>
      <name val="Arial"/>
      <family val="0"/>
      <charset val="134"/>
    </font>
    <font>
      <b val="true"/>
      <sz val="9"/>
      <color rgb="FF1A6B8A"/>
      <name val="Arial"/>
      <family val="0"/>
      <charset val="134"/>
    </font>
    <font>
      <b val="true"/>
      <sz val="9"/>
      <color rgb="FF6C3483"/>
      <name val="Arial"/>
      <family val="0"/>
      <charset val="134"/>
    </font>
    <font>
      <b val="true"/>
      <sz val="9"/>
      <color rgb="FFB7860B"/>
      <name val="Arial"/>
      <family val="0"/>
      <charset val="134"/>
    </font>
    <font>
      <b val="true"/>
      <sz val="9"/>
      <color rgb="FFAAAAAA"/>
      <name val="Arial"/>
      <family val="0"/>
      <charset val="134"/>
    </font>
    <font>
      <b val="true"/>
      <sz val="13"/>
      <color rgb="FFFFFFFF"/>
      <name val="Arial"/>
      <family val="0"/>
      <charset val="1"/>
    </font>
    <font>
      <i val="true"/>
      <sz val="9"/>
      <color rgb="FF5D6D7E"/>
      <name val="Arial"/>
      <family val="0"/>
      <charset val="1"/>
    </font>
    <font>
      <b val="true"/>
      <sz val="9"/>
      <color rgb="FF2E405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A6B8A"/>
      <name val="Arial"/>
      <family val="0"/>
      <charset val="1"/>
    </font>
    <font>
      <b val="true"/>
      <sz val="9"/>
      <color rgb="FF6C3483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B9770E"/>
      <name val="Arial"/>
      <family val="0"/>
      <charset val="1"/>
    </font>
    <font>
      <b val="true"/>
      <sz val="9"/>
      <color rgb="FF0D1B2A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1A6B8A"/>
      <name val="Arial"/>
      <family val="0"/>
      <charset val="1"/>
    </font>
    <font>
      <b val="true"/>
      <sz val="11"/>
      <color rgb="FF6C3483"/>
      <name val="Arial"/>
      <family val="0"/>
      <charset val="1"/>
    </font>
    <font>
      <b val="true"/>
      <sz val="11"/>
      <color rgb="FF1E8449"/>
      <name val="Arial"/>
      <family val="0"/>
      <charset val="1"/>
    </font>
    <font>
      <b val="true"/>
      <sz val="11"/>
      <color rgb="FFB9770E"/>
      <name val="Arial"/>
      <family val="0"/>
      <charset val="1"/>
    </font>
    <font>
      <b val="true"/>
      <sz val="16"/>
      <color rgb="FF1A6B8A"/>
      <name val="Arial"/>
      <family val="0"/>
      <charset val="1"/>
    </font>
    <font>
      <b val="true"/>
      <sz val="16"/>
      <color rgb="FF6C3483"/>
      <name val="Arial"/>
      <family val="0"/>
      <charset val="1"/>
    </font>
    <font>
      <b val="true"/>
      <sz val="16"/>
      <color rgb="FF1E8449"/>
      <name val="Arial"/>
      <family val="0"/>
      <charset val="1"/>
    </font>
    <font>
      <b val="true"/>
      <sz val="16"/>
      <color rgb="FFB9770E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8"/>
      <color rgb="FF5D6D7E"/>
      <name val="Arial"/>
      <family val="0"/>
      <charset val="1"/>
    </font>
    <font>
      <sz val="9"/>
      <color rgb="FFAAB7B8"/>
      <name val="Arial"/>
      <family val="0"/>
      <charset val="1"/>
    </font>
    <font>
      <b val="true"/>
      <sz val="16"/>
      <color rgb="FF0D1B2A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8"/>
      <color rgb="FF0D1B2A"/>
      <name val="Arial"/>
      <family val="0"/>
      <charset val="1"/>
    </font>
    <font>
      <b val="true"/>
      <sz val="10"/>
      <color rgb="FF1A6B8A"/>
      <name val="Arial"/>
      <family val="0"/>
      <charset val="1"/>
    </font>
    <font>
      <b val="true"/>
      <sz val="12"/>
      <color rgb="FF1A6B8A"/>
      <name val="Arial"/>
      <family val="0"/>
      <charset val="1"/>
    </font>
    <font>
      <sz val="10"/>
      <name val="Arial"/>
      <family val="2"/>
    </font>
    <font>
      <b val="true"/>
      <sz val="14"/>
      <color rgb="FFFFFFFF"/>
      <name val="Arial"/>
      <family val="2"/>
      <charset val="1"/>
    </font>
    <font>
      <sz val="9"/>
      <color rgb="FFFFFFFF"/>
      <name val="Arial"/>
      <family val="0"/>
      <charset val="134"/>
    </font>
    <font>
      <i val="true"/>
      <sz val="9"/>
      <color rgb="FF555555"/>
      <name val="Arial"/>
      <family val="2"/>
      <charset val="1"/>
    </font>
    <font>
      <b val="true"/>
      <sz val="9"/>
      <color rgb="FF1A6B8A"/>
      <name val="Arial"/>
      <family val="2"/>
      <charset val="1"/>
    </font>
    <font>
      <b val="true"/>
      <sz val="9"/>
      <color rgb="FF6C3483"/>
      <name val="Arial"/>
      <family val="2"/>
      <charset val="1"/>
    </font>
    <font>
      <b val="true"/>
      <sz val="9"/>
      <color rgb="FFCA6F1E"/>
      <name val="Arial"/>
      <family val="2"/>
      <charset val="1"/>
    </font>
    <font>
      <b val="true"/>
      <sz val="9"/>
      <color rgb="FF2E4057"/>
      <name val="Arial"/>
      <family val="0"/>
      <charset val="134"/>
    </font>
    <font>
      <b val="true"/>
      <sz val="18"/>
      <color rgb="FF1A6B8A"/>
      <name val="Arial"/>
      <family val="2"/>
      <charset val="1"/>
    </font>
    <font>
      <b val="true"/>
      <sz val="18"/>
      <color rgb="FFCA6F1E"/>
      <name val="Arial"/>
      <family val="0"/>
      <charset val="134"/>
    </font>
    <font>
      <b val="true"/>
      <sz val="18"/>
      <color rgb="FF2E4057"/>
      <name val="Arial"/>
      <family val="0"/>
      <charset val="134"/>
    </font>
    <font>
      <b val="true"/>
      <sz val="9"/>
      <color rgb="FF1E8449"/>
      <name val="Arial"/>
      <family val="2"/>
      <charset val="1"/>
    </font>
    <font>
      <i val="true"/>
      <sz val="8"/>
      <color rgb="FF888888"/>
      <name val="Arial"/>
      <family val="2"/>
      <charset val="1"/>
    </font>
    <font>
      <b val="true"/>
      <sz val="9"/>
      <color rgb="FF1A1A1A"/>
      <name val="Arial"/>
      <family val="2"/>
      <charset val="1"/>
    </font>
    <font>
      <sz val="9"/>
      <color rgb="FF1A1A1A"/>
      <name val="Arial"/>
      <family val="2"/>
      <charset val="1"/>
    </font>
    <font>
      <b val="true"/>
      <sz val="9"/>
      <color rgb="FFCA6F1E"/>
      <name val="Arial"/>
      <family val="0"/>
      <charset val="134"/>
    </font>
    <font>
      <sz val="9"/>
      <color rgb="FF1A1A1A"/>
      <name val="Arial"/>
      <family val="0"/>
      <charset val="134"/>
    </font>
    <font>
      <b val="true"/>
      <sz val="9"/>
      <color theme="4" tint="-0.25"/>
      <name val="Arial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0D1B2A"/>
        <bgColor rgb="FF1A1A1A"/>
      </patternFill>
    </fill>
    <fill>
      <patternFill patternType="solid">
        <fgColor rgb="FFF0F3F4"/>
        <bgColor rgb="FFF2F3F4"/>
      </patternFill>
    </fill>
    <fill>
      <patternFill patternType="solid">
        <fgColor rgb="FF1E8449"/>
        <bgColor rgb="FF008080"/>
      </patternFill>
    </fill>
    <fill>
      <patternFill patternType="solid">
        <fgColor rgb="FF1A6B8A"/>
        <bgColor rgb="FF376092"/>
      </patternFill>
    </fill>
    <fill>
      <patternFill patternType="solid">
        <fgColor rgb="FF6C3483"/>
        <bgColor rgb="FF555555"/>
      </patternFill>
    </fill>
    <fill>
      <patternFill patternType="solid">
        <fgColor rgb="FFB7860B"/>
        <bgColor rgb="FFB9770E"/>
      </patternFill>
    </fill>
    <fill>
      <patternFill patternType="solid">
        <fgColor rgb="FF2E4057"/>
        <bgColor rgb="FF555555"/>
      </patternFill>
    </fill>
    <fill>
      <patternFill patternType="solid">
        <fgColor rgb="FFE9F7EF"/>
        <bgColor rgb="FFE8F8F5"/>
      </patternFill>
    </fill>
    <fill>
      <patternFill patternType="solid">
        <fgColor rgb="FFEAF4FB"/>
        <bgColor rgb="FFE8F8F5"/>
      </patternFill>
    </fill>
    <fill>
      <patternFill patternType="solid">
        <fgColor rgb="FFF5EEF8"/>
        <bgColor rgb="FFF2F3F4"/>
      </patternFill>
    </fill>
    <fill>
      <patternFill patternType="solid">
        <fgColor rgb="FFFEF9E7"/>
        <bgColor rgb="FFF8F9FA"/>
      </patternFill>
    </fill>
    <fill>
      <patternFill patternType="solid">
        <fgColor theme="0" tint="-0.15"/>
        <bgColor rgb="FFD5D8DC"/>
      </patternFill>
    </fill>
    <fill>
      <patternFill patternType="solid">
        <fgColor rgb="FFF2F3F4"/>
        <bgColor rgb="FFF0F3F4"/>
      </patternFill>
    </fill>
    <fill>
      <patternFill patternType="solid">
        <fgColor rgb="FFF8F9FA"/>
        <bgColor rgb="FFF2F3F4"/>
      </patternFill>
    </fill>
    <fill>
      <patternFill patternType="solid">
        <fgColor rgb="FFE8F8F5"/>
        <bgColor rgb="FFE9F7EF"/>
      </patternFill>
    </fill>
    <fill>
      <patternFill patternType="solid">
        <fgColor rgb="FFB9770E"/>
        <bgColor rgb="FFB7860B"/>
      </patternFill>
    </fill>
    <fill>
      <patternFill patternType="solid">
        <fgColor rgb="FF5D6D7E"/>
        <bgColor rgb="FF555555"/>
      </patternFill>
    </fill>
    <fill>
      <patternFill patternType="solid">
        <fgColor rgb="FFFFFFFF"/>
        <bgColor rgb="FFF8F9FA"/>
      </patternFill>
    </fill>
    <fill>
      <patternFill patternType="solid">
        <fgColor rgb="FFFFFF00"/>
        <bgColor rgb="FF99CC00"/>
      </patternFill>
    </fill>
    <fill>
      <patternFill patternType="solid">
        <fgColor rgb="FFD6EAF8"/>
        <bgColor rgb="FFEAF4FB"/>
      </patternFill>
    </fill>
    <fill>
      <patternFill patternType="solid">
        <fgColor rgb="FFCA6F1E"/>
        <bgColor rgb="FFB9770E"/>
      </patternFill>
    </fill>
    <fill>
      <patternFill patternType="solid">
        <fgColor theme="3" tint="0.7999"/>
        <bgColor rgb="FFD5D8D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/>
      <right/>
      <top/>
      <bottom style="thick">
        <color rgb="FF0D1B2A"/>
      </bottom>
      <diagonal/>
    </border>
    <border diagonalUp="false" diagonalDown="false">
      <left style="thin">
        <color rgb="FFD5D8DC"/>
      </left>
      <right/>
      <top style="thin">
        <color rgb="FFD5D8DC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6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7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8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5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0" xfId="0" applyFont="true" applyBorder="true" applyAlignment="true" applyProtection="false">
      <alignment horizontal="general" vertical="bottom" textRotation="0" wrapText="true" indent="1" shrinkToFit="false"/>
      <protection locked="true" hidden="false"/>
    </xf>
    <xf numFmtId="164" fontId="4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6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3" fillId="19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5" fillId="2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5" fillId="2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5" fillId="2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4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4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4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2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4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6" fillId="1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4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6" fillId="19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7" fillId="1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6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7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7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47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4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6" fillId="1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1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46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6" fillId="1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57" fillId="1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6" fillId="21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58" fillId="21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7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1" fontId="47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4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4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46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5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3" fontId="4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5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46" fillId="1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47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5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55" fillId="2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5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54" fillId="2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5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5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4" fontId="54" fillId="2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54" fillId="2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5" fontId="54" fillId="2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54" fillId="2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5" fillId="2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46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5" fillId="2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1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3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860B"/>
      <rgbColor rgb="FF800080"/>
      <rgbColor rgb="FF1A6B8A"/>
      <rgbColor rgb="FFBDC3C7"/>
      <rgbColor rgb="FF888888"/>
      <rgbColor rgb="FFAAAAAA"/>
      <rgbColor rgb="FF6C3483"/>
      <rgbColor rgb="FFFEF9E7"/>
      <rgbColor rgb="FFE8F8F5"/>
      <rgbColor rgb="FF660066"/>
      <rgbColor rgb="FFF8F9FA"/>
      <rgbColor rgb="FF0066CC"/>
      <rgbColor rgb="FFC6D9F1"/>
      <rgbColor rgb="FF000080"/>
      <rgbColor rgb="FFFF00FF"/>
      <rgbColor rgb="FFF0F3F4"/>
      <rgbColor rgb="FF00FFFF"/>
      <rgbColor rgb="FF800080"/>
      <rgbColor rgb="FF800000"/>
      <rgbColor rgb="FF008080"/>
      <rgbColor rgb="FF0000FF"/>
      <rgbColor rgb="FF00CCFF"/>
      <rgbColor rgb="FFD6EAF8"/>
      <rgbColor rgb="FFE9F7EF"/>
      <rgbColor rgb="FFF2F3F4"/>
      <rgbColor rgb="FFAAB7B8"/>
      <rgbColor rgb="FFF5EEF8"/>
      <rgbColor rgb="FFD5D8DC"/>
      <rgbColor rgb="FFD9D9D9"/>
      <rgbColor rgb="FF3366FF"/>
      <rgbColor rgb="FF33CCCC"/>
      <rgbColor rgb="FF99CC00"/>
      <rgbColor rgb="FFEAF4FB"/>
      <rgbColor rgb="FFB9770E"/>
      <rgbColor rgb="FFCA6F1E"/>
      <rgbColor rgb="FF5D6D7E"/>
      <rgbColor rgb="FF7F8C8D"/>
      <rgbColor rgb="FF003366"/>
      <rgbColor rgb="FF1E8449"/>
      <rgbColor rgb="FF0D1B2A"/>
      <rgbColor rgb="FF1A1A1A"/>
      <rgbColor rgb="FF993300"/>
      <rgbColor rgb="FF555555"/>
      <rgbColor rgb="FF376092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.png"/><Relationship Id="rId3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266760</xdr:colOff>
      <xdr:row>0</xdr:row>
      <xdr:rowOff>57240</xdr:rowOff>
    </xdr:from>
    <xdr:to>
      <xdr:col>9</xdr:col>
      <xdr:colOff>990360</xdr:colOff>
      <xdr:row>0</xdr:row>
      <xdr:rowOff>733320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1192040" y="57240"/>
          <a:ext cx="723600" cy="67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2343240</xdr:colOff>
      <xdr:row>15</xdr:row>
      <xdr:rowOff>0</xdr:rowOff>
    </xdr:from>
    <xdr:to>
      <xdr:col>3</xdr:col>
      <xdr:colOff>936720</xdr:colOff>
      <xdr:row>30</xdr:row>
      <xdr:rowOff>142560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2343240" y="4295880"/>
          <a:ext cx="3809520" cy="355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2343240</xdr:colOff>
      <xdr:row>50</xdr:row>
      <xdr:rowOff>0</xdr:rowOff>
    </xdr:from>
    <xdr:to>
      <xdr:col>3</xdr:col>
      <xdr:colOff>936720</xdr:colOff>
      <xdr:row>65</xdr:row>
      <xdr:rowOff>142560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2343240" y="12411000"/>
          <a:ext cx="3809520" cy="355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990720</xdr:colOff>
      <xdr:row>0</xdr:row>
      <xdr:rowOff>57240</xdr:rowOff>
    </xdr:from>
    <xdr:to>
      <xdr:col>4</xdr:col>
      <xdr:colOff>1714320</xdr:colOff>
      <xdr:row>0</xdr:row>
      <xdr:rowOff>733320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7898400" y="57240"/>
          <a:ext cx="723600" cy="676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0" activePane="bottomLeft" state="frozen"/>
      <selection pane="topLeft" activeCell="A1" activeCellId="0" sqref="A1"/>
      <selection pane="bottomLeft" activeCell="F17" activeCellId="0" sqref="F17"/>
    </sheetView>
  </sheetViews>
  <sheetFormatPr defaultColWidth="9.00390625" defaultRowHeight="15" zeroHeight="false" outlineLevelRow="0" outlineLevelCol="0"/>
  <cols>
    <col collapsed="false" customWidth="true" hidden="false" outlineLevel="0" max="8" min="1" style="0" width="18"/>
    <col collapsed="false" customWidth="true" hidden="false" outlineLevel="0" max="9" min="9" style="0" width="2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/>
      <c r="C3" s="4" t="s">
        <v>3</v>
      </c>
      <c r="D3" s="4"/>
      <c r="E3" s="5" t="s">
        <v>4</v>
      </c>
      <c r="F3" s="5"/>
      <c r="G3" s="6" t="s">
        <v>5</v>
      </c>
      <c r="H3" s="6"/>
      <c r="I3" s="7" t="s">
        <v>6</v>
      </c>
    </row>
    <row r="4" customFormat="false" ht="30" hidden="false" customHeight="true" outlineLevel="0" collapsed="false">
      <c r="A4" s="8" t="s">
        <v>7</v>
      </c>
      <c r="B4" s="8"/>
      <c r="C4" s="9" t="s">
        <v>8</v>
      </c>
      <c r="D4" s="9"/>
      <c r="E4" s="10" t="s">
        <v>9</v>
      </c>
      <c r="F4" s="10"/>
      <c r="G4" s="11" t="s">
        <v>10</v>
      </c>
      <c r="H4" s="11"/>
      <c r="I4" s="7"/>
    </row>
    <row r="5" customFormat="false" ht="21.75" hidden="false" customHeight="true" outlineLevel="0" collapsed="false">
      <c r="A5" s="12" t="s">
        <v>11</v>
      </c>
      <c r="B5" s="12"/>
      <c r="C5" s="13" t="s">
        <v>12</v>
      </c>
      <c r="D5" s="13"/>
      <c r="E5" s="14" t="s">
        <v>13</v>
      </c>
      <c r="F5" s="14"/>
      <c r="G5" s="15" t="s">
        <v>14</v>
      </c>
      <c r="H5" s="15"/>
      <c r="I5" s="7"/>
    </row>
    <row r="6" customFormat="false" ht="31.5" hidden="false" customHeight="true" outlineLevel="0" collapsed="false">
      <c r="A6" s="16" t="s">
        <v>15</v>
      </c>
      <c r="B6" s="16"/>
      <c r="C6" s="17" t="s">
        <v>16</v>
      </c>
      <c r="D6" s="17"/>
      <c r="E6" s="18" t="s">
        <v>17</v>
      </c>
      <c r="F6" s="18"/>
      <c r="G6" s="19" t="s">
        <v>18</v>
      </c>
      <c r="H6" s="19"/>
      <c r="I6" s="7"/>
    </row>
    <row r="7" customFormat="false" ht="24" hidden="false" customHeight="true" outlineLevel="0" collapsed="false">
      <c r="A7" s="20" t="s">
        <v>19</v>
      </c>
      <c r="B7" s="20"/>
      <c r="C7" s="21" t="s">
        <v>20</v>
      </c>
      <c r="D7" s="21"/>
      <c r="E7" s="22" t="s">
        <v>21</v>
      </c>
      <c r="F7" s="22"/>
      <c r="G7" s="23" t="s">
        <v>22</v>
      </c>
      <c r="H7" s="23"/>
      <c r="I7" s="7"/>
    </row>
    <row r="8" customFormat="false" ht="18" hidden="false" customHeight="true" outlineLevel="0" collapsed="false">
      <c r="A8" s="24" t="s">
        <v>23</v>
      </c>
      <c r="B8" s="24"/>
      <c r="C8" s="25" t="s">
        <v>24</v>
      </c>
      <c r="D8" s="25"/>
      <c r="E8" s="26" t="s">
        <v>25</v>
      </c>
      <c r="F8" s="26"/>
      <c r="G8" s="27" t="s">
        <v>26</v>
      </c>
      <c r="H8" s="27"/>
      <c r="I8" s="7"/>
    </row>
    <row r="9" customFormat="false" ht="13.5" hidden="false" customHeight="true" outlineLevel="0" collapsed="false"/>
    <row r="10" customFormat="false" ht="21.75" hidden="false" customHeight="true" outlineLevel="0" collapsed="false">
      <c r="A10" s="28" t="s">
        <v>27</v>
      </c>
      <c r="B10" s="28"/>
      <c r="C10" s="28"/>
      <c r="D10" s="28"/>
      <c r="E10" s="28"/>
      <c r="F10" s="28"/>
      <c r="G10" s="28"/>
      <c r="H10" s="28"/>
      <c r="I10" s="28"/>
    </row>
    <row r="11" customFormat="false" ht="21.75" hidden="false" customHeight="true" outlineLevel="0" collapsed="false">
      <c r="A11" s="29" t="s">
        <v>28</v>
      </c>
      <c r="B11" s="29" t="s">
        <v>29</v>
      </c>
      <c r="C11" s="29" t="s">
        <v>30</v>
      </c>
      <c r="D11" s="29" t="s">
        <v>31</v>
      </c>
      <c r="E11" s="30" t="s">
        <v>31</v>
      </c>
      <c r="F11" s="29"/>
      <c r="G11" s="29"/>
      <c r="H11" s="29"/>
      <c r="I11" s="29"/>
    </row>
    <row r="12" customFormat="false" ht="24" hidden="false" customHeight="true" outlineLevel="0" collapsed="false">
      <c r="A12" s="31" t="s">
        <v>32</v>
      </c>
      <c r="B12" s="32" t="s">
        <v>33</v>
      </c>
      <c r="C12" s="33" t="s">
        <v>33</v>
      </c>
      <c r="D12" s="34" t="s">
        <v>33</v>
      </c>
      <c r="E12" s="35" t="s">
        <v>33</v>
      </c>
    </row>
    <row r="13" customFormat="false" ht="24" hidden="false" customHeight="true" outlineLevel="0" collapsed="false">
      <c r="A13" s="36" t="s">
        <v>34</v>
      </c>
      <c r="B13" s="32" t="s">
        <v>33</v>
      </c>
      <c r="C13" s="33" t="s">
        <v>33</v>
      </c>
      <c r="D13" s="34" t="s">
        <v>33</v>
      </c>
      <c r="E13" s="35" t="s">
        <v>33</v>
      </c>
    </row>
    <row r="14" customFormat="false" ht="24" hidden="false" customHeight="true" outlineLevel="0" collapsed="false">
      <c r="A14" s="31" t="s">
        <v>35</v>
      </c>
      <c r="B14" s="32" t="s">
        <v>33</v>
      </c>
      <c r="C14" s="33" t="s">
        <v>33</v>
      </c>
      <c r="D14" s="34" t="s">
        <v>33</v>
      </c>
      <c r="E14" s="35" t="s">
        <v>33</v>
      </c>
    </row>
    <row r="15" customFormat="false" ht="24" hidden="false" customHeight="true" outlineLevel="0" collapsed="false">
      <c r="A15" s="36" t="s">
        <v>36</v>
      </c>
      <c r="B15" s="37" t="s">
        <v>37</v>
      </c>
      <c r="C15" s="33" t="s">
        <v>33</v>
      </c>
      <c r="D15" s="34" t="s">
        <v>33</v>
      </c>
      <c r="E15" s="35" t="s">
        <v>33</v>
      </c>
    </row>
    <row r="16" customFormat="false" ht="24" hidden="false" customHeight="true" outlineLevel="0" collapsed="false">
      <c r="A16" s="36" t="s">
        <v>38</v>
      </c>
      <c r="B16" s="32" t="s">
        <v>33</v>
      </c>
      <c r="C16" s="33" t="s">
        <v>33</v>
      </c>
      <c r="D16" s="34" t="s">
        <v>33</v>
      </c>
      <c r="E16" s="35" t="s">
        <v>33</v>
      </c>
    </row>
    <row r="17" customFormat="false" ht="24" hidden="false" customHeight="true" outlineLevel="0" collapsed="false">
      <c r="A17" s="31" t="s">
        <v>39</v>
      </c>
      <c r="B17" s="32" t="s">
        <v>33</v>
      </c>
      <c r="C17" s="33" t="s">
        <v>33</v>
      </c>
      <c r="D17" s="34" t="s">
        <v>33</v>
      </c>
      <c r="E17" s="35" t="s">
        <v>33</v>
      </c>
    </row>
    <row r="18" customFormat="false" ht="24" hidden="false" customHeight="true" outlineLevel="0" collapsed="false">
      <c r="A18" s="36" t="s">
        <v>40</v>
      </c>
      <c r="B18" s="32" t="s">
        <v>33</v>
      </c>
      <c r="C18" s="33" t="s">
        <v>33</v>
      </c>
      <c r="D18" s="34" t="s">
        <v>33</v>
      </c>
      <c r="E18" s="35" t="s">
        <v>33</v>
      </c>
    </row>
    <row r="19" customFormat="false" ht="24" hidden="false" customHeight="true" outlineLevel="0" collapsed="false">
      <c r="A19" s="31" t="s">
        <v>41</v>
      </c>
      <c r="B19" s="32" t="s">
        <v>33</v>
      </c>
      <c r="C19" s="33" t="s">
        <v>33</v>
      </c>
      <c r="D19" s="34" t="s">
        <v>33</v>
      </c>
      <c r="E19" s="35" t="s">
        <v>33</v>
      </c>
    </row>
    <row r="20" customFormat="false" ht="24" hidden="false" customHeight="true" outlineLevel="0" collapsed="false">
      <c r="A20" s="36" t="s">
        <v>42</v>
      </c>
      <c r="B20" s="37" t="s">
        <v>43</v>
      </c>
      <c r="C20" s="33" t="s">
        <v>33</v>
      </c>
      <c r="D20" s="34" t="s">
        <v>33</v>
      </c>
      <c r="E20" s="35" t="s">
        <v>33</v>
      </c>
    </row>
    <row r="21" customFormat="false" ht="24" hidden="false" customHeight="true" outlineLevel="0" collapsed="false">
      <c r="A21" s="31" t="s">
        <v>44</v>
      </c>
      <c r="B21" s="37" t="s">
        <v>37</v>
      </c>
      <c r="C21" s="33" t="s">
        <v>33</v>
      </c>
      <c r="D21" s="34" t="s">
        <v>33</v>
      </c>
      <c r="E21" s="35" t="s">
        <v>33</v>
      </c>
    </row>
    <row r="22" customFormat="false" ht="24" hidden="false" customHeight="true" outlineLevel="0" collapsed="false">
      <c r="A22" s="36" t="s">
        <v>45</v>
      </c>
      <c r="B22" s="37" t="s">
        <v>46</v>
      </c>
      <c r="C22" s="33" t="s">
        <v>47</v>
      </c>
      <c r="D22" s="34" t="s">
        <v>48</v>
      </c>
      <c r="E22" s="35" t="s">
        <v>48</v>
      </c>
    </row>
    <row r="23" customFormat="false" ht="24" hidden="false" customHeight="true" outlineLevel="0" collapsed="false">
      <c r="A23" s="31" t="s">
        <v>49</v>
      </c>
      <c r="B23" s="37" t="s">
        <v>37</v>
      </c>
      <c r="C23" s="33" t="s">
        <v>33</v>
      </c>
      <c r="D23" s="34" t="s">
        <v>33</v>
      </c>
      <c r="E23" s="35" t="s">
        <v>33</v>
      </c>
    </row>
    <row r="24" customFormat="false" ht="24" hidden="false" customHeight="true" outlineLevel="0" collapsed="false">
      <c r="A24" s="36" t="s">
        <v>50</v>
      </c>
      <c r="B24" s="37" t="s">
        <v>51</v>
      </c>
      <c r="C24" s="37" t="s">
        <v>51</v>
      </c>
      <c r="D24" s="34" t="s">
        <v>52</v>
      </c>
      <c r="E24" s="35" t="s">
        <v>52</v>
      </c>
    </row>
    <row r="25" customFormat="false" ht="24" hidden="false" customHeight="true" outlineLevel="0" collapsed="false">
      <c r="A25" s="31" t="s">
        <v>53</v>
      </c>
      <c r="B25" s="37" t="s">
        <v>37</v>
      </c>
      <c r="C25" s="33" t="s">
        <v>33</v>
      </c>
      <c r="D25" s="34" t="s">
        <v>33</v>
      </c>
      <c r="E25" s="35" t="s">
        <v>33</v>
      </c>
    </row>
    <row r="26" customFormat="false" ht="24" hidden="false" customHeight="true" outlineLevel="0" collapsed="false">
      <c r="A26" s="36" t="s">
        <v>54</v>
      </c>
      <c r="B26" s="37" t="s">
        <v>37</v>
      </c>
      <c r="C26" s="37" t="s">
        <v>37</v>
      </c>
      <c r="D26" s="37" t="s">
        <v>37</v>
      </c>
      <c r="E26" s="35" t="s">
        <v>33</v>
      </c>
    </row>
    <row r="27" customFormat="false" ht="24" hidden="false" customHeight="true" outlineLevel="0" collapsed="false">
      <c r="A27" s="31" t="s">
        <v>55</v>
      </c>
      <c r="B27" s="37" t="s">
        <v>56</v>
      </c>
      <c r="C27" s="37" t="s">
        <v>57</v>
      </c>
      <c r="D27" s="38" t="s">
        <v>58</v>
      </c>
      <c r="E27" s="35" t="s">
        <v>58</v>
      </c>
    </row>
    <row r="28" customFormat="false" ht="24" hidden="false" customHeight="true" outlineLevel="0" collapsed="false">
      <c r="A28" s="36" t="s">
        <v>59</v>
      </c>
      <c r="B28" s="37" t="n">
        <v>25</v>
      </c>
      <c r="C28" s="33" t="s">
        <v>60</v>
      </c>
      <c r="D28" s="34" t="s">
        <v>60</v>
      </c>
      <c r="E28" s="35" t="s">
        <v>60</v>
      </c>
    </row>
    <row r="29" customFormat="false" ht="13.5" hidden="false" customHeight="true" outlineLevel="0" collapsed="false"/>
    <row r="30" customFormat="false" ht="21.75" hidden="false" customHeight="true" outlineLevel="0" collapsed="false">
      <c r="A30" s="39" t="s">
        <v>61</v>
      </c>
      <c r="B30" s="39"/>
      <c r="C30" s="39"/>
      <c r="D30" s="39"/>
      <c r="E30" s="39"/>
      <c r="F30" s="39"/>
      <c r="G30" s="39"/>
      <c r="H30" s="39"/>
      <c r="I30" s="39"/>
    </row>
  </sheetData>
  <mergeCells count="29">
    <mergeCell ref="A1:I1"/>
    <mergeCell ref="A2:I2"/>
    <mergeCell ref="A3:B3"/>
    <mergeCell ref="C3:D3"/>
    <mergeCell ref="E3:F3"/>
    <mergeCell ref="G3:H3"/>
    <mergeCell ref="I3:I8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10:I10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22"/>
  </cols>
  <sheetData>
    <row r="1" customFormat="false" ht="31.5" hidden="false" customHeight="true" outlineLevel="0" collapsed="false">
      <c r="A1" s="40" t="s">
        <v>62</v>
      </c>
      <c r="B1" s="40"/>
      <c r="C1" s="40"/>
      <c r="D1" s="40"/>
      <c r="E1" s="40"/>
      <c r="F1" s="40"/>
    </row>
    <row r="2" customFormat="false" ht="31.5" hidden="false" customHeight="true" outlineLevel="0" collapsed="false">
      <c r="A2" s="41" t="s">
        <v>63</v>
      </c>
      <c r="B2" s="41"/>
      <c r="C2" s="41"/>
      <c r="D2" s="41"/>
      <c r="E2" s="41"/>
      <c r="F2" s="41"/>
    </row>
    <row r="3" customFormat="false" ht="30" hidden="false" customHeight="true" outlineLevel="0" collapsed="false">
      <c r="A3" s="42"/>
      <c r="B3" s="43" t="str">
        <f aca="false">'College Inputs'!A6</f>
        <v>Essential 9</v>
      </c>
      <c r="C3" s="44" t="str">
        <f aca="false">'College Inputs'!A7</f>
        <v>Standard 12</v>
      </c>
      <c r="D3" s="45" t="str">
        <f aca="false">'College Inputs'!A8</f>
        <v>Advanced 18</v>
      </c>
      <c r="E3" s="46" t="str">
        <f aca="false">'College Inputs'!A9</f>
        <v>Premier 24</v>
      </c>
      <c r="F3" s="47" t="s">
        <v>64</v>
      </c>
    </row>
    <row r="4" customFormat="false" ht="19.5" hidden="false" customHeight="true" outlineLevel="0" collapsed="false">
      <c r="A4" s="42" t="s">
        <v>65</v>
      </c>
      <c r="B4" s="48" t="str">
        <f aca="false">'College Inputs'!B6&amp;" seats a year"</f>
        <v>3 seats a year</v>
      </c>
      <c r="C4" s="49" t="str">
        <f aca="false">'College Inputs'!B7&amp;" seats a year"</f>
        <v>4 seats a year</v>
      </c>
      <c r="D4" s="50" t="str">
        <f aca="false">'College Inputs'!B8&amp;" seats a year"</f>
        <v>6 seats a year</v>
      </c>
      <c r="E4" s="51" t="str">
        <f aca="false">'College Inputs'!B9&amp;" seats a year"</f>
        <v>8 seats a year</v>
      </c>
      <c r="F4" s="52" t="s">
        <v>66</v>
      </c>
    </row>
    <row r="5" customFormat="false" ht="31.5" hidden="false" customHeight="true" outlineLevel="0" collapsed="false">
      <c r="A5" s="42" t="s">
        <v>67</v>
      </c>
      <c r="B5" s="53" t="s">
        <v>68</v>
      </c>
      <c r="C5" s="53" t="s">
        <v>68</v>
      </c>
      <c r="D5" s="53" t="s">
        <v>68</v>
      </c>
      <c r="E5" s="53" t="s">
        <v>68</v>
      </c>
      <c r="F5" s="53" t="s">
        <v>69</v>
      </c>
    </row>
    <row r="6" customFormat="false" ht="21.75" hidden="false" customHeight="true" outlineLevel="0" collapsed="false">
      <c r="A6" s="42" t="s">
        <v>70</v>
      </c>
      <c r="B6" s="48" t="str">
        <f aca="false">"Up to "&amp;'College Inputs'!D6</f>
        <v>Up to 9</v>
      </c>
      <c r="C6" s="49" t="str">
        <f aca="false">"Up to "&amp;'College Inputs'!D7</f>
        <v>Up to 12</v>
      </c>
      <c r="D6" s="50" t="str">
        <f aca="false">"Up to "&amp;'College Inputs'!D8</f>
        <v>Up to 18</v>
      </c>
      <c r="E6" s="51" t="str">
        <f aca="false">"Up to "&amp;'College Inputs'!D9&amp;" (+ extra students)"</f>
        <v>Up to 24 (+ extra students)</v>
      </c>
      <c r="F6" s="52" t="s">
        <v>71</v>
      </c>
    </row>
    <row r="7" customFormat="false" ht="19.5" hidden="false" customHeight="true" outlineLevel="0" collapsed="false">
      <c r="A7" s="42" t="s">
        <v>72</v>
      </c>
      <c r="B7" s="54" t="n">
        <f aca="false">'College Inputs'!E6</f>
        <v>3</v>
      </c>
      <c r="C7" s="55" t="n">
        <f aca="false">'College Inputs'!E7</f>
        <v>4</v>
      </c>
      <c r="D7" s="56" t="n">
        <f aca="false">'College Inputs'!E8</f>
        <v>5</v>
      </c>
      <c r="E7" s="57" t="n">
        <f aca="false">'College Inputs'!E9</f>
        <v>6</v>
      </c>
      <c r="F7" s="52" t="s">
        <v>73</v>
      </c>
    </row>
    <row r="8" customFormat="false" ht="19.5" hidden="false" customHeight="true" outlineLevel="0" collapsed="false">
      <c r="A8" s="42" t="s">
        <v>74</v>
      </c>
      <c r="B8" s="54" t="n">
        <f aca="false">'College Inputs'!F6</f>
        <v>1</v>
      </c>
      <c r="C8" s="55" t="n">
        <f aca="false">'College Inputs'!F7</f>
        <v>2</v>
      </c>
      <c r="D8" s="56" t="n">
        <f aca="false">'College Inputs'!F8</f>
        <v>3</v>
      </c>
      <c r="E8" s="57" t="n">
        <f aca="false">'College Inputs'!F9</f>
        <v>4</v>
      </c>
      <c r="F8" s="52" t="s">
        <v>73</v>
      </c>
    </row>
    <row r="9" customFormat="false" ht="19.5" hidden="false" customHeight="true" outlineLevel="0" collapsed="false">
      <c r="A9" s="42" t="s">
        <v>75</v>
      </c>
      <c r="B9" s="54" t="n">
        <f aca="false">'College Inputs'!G6</f>
        <v>1</v>
      </c>
      <c r="C9" s="55" t="n">
        <f aca="false">'College Inputs'!G7</f>
        <v>1</v>
      </c>
      <c r="D9" s="56" t="n">
        <f aca="false">'College Inputs'!G8</f>
        <v>2</v>
      </c>
      <c r="E9" s="57" t="n">
        <f aca="false">'College Inputs'!G9</f>
        <v>2</v>
      </c>
      <c r="F9" s="52" t="s">
        <v>76</v>
      </c>
    </row>
    <row r="10" customFormat="false" ht="33.75" hidden="false" customHeight="true" outlineLevel="0" collapsed="false">
      <c r="A10" s="42" t="s">
        <v>77</v>
      </c>
      <c r="B10" s="58" t="n">
        <f aca="false">'College Inputs'!H6</f>
        <v>50000</v>
      </c>
      <c r="C10" s="59" t="n">
        <f aca="false">'College Inputs'!H7</f>
        <v>60000</v>
      </c>
      <c r="D10" s="60" t="n">
        <f aca="false">'College Inputs'!H8</f>
        <v>80000</v>
      </c>
      <c r="E10" s="61" t="n">
        <f aca="false">'College Inputs'!H9</f>
        <v>100000</v>
      </c>
      <c r="F10" s="62" t="str">
        <f aca="false">"Tier price less "&amp;TEXT('College Inputs'!$B$41,"0%")</f>
        <v>Tier price less 15%</v>
      </c>
    </row>
    <row r="11" customFormat="false" ht="18" hidden="false" customHeight="true" outlineLevel="0" collapsed="false">
      <c r="A11" s="42"/>
      <c r="B11" s="53" t="s">
        <v>78</v>
      </c>
      <c r="C11" s="53" t="s">
        <v>78</v>
      </c>
      <c r="D11" s="53" t="s">
        <v>78</v>
      </c>
      <c r="E11" s="53" t="s">
        <v>78</v>
      </c>
      <c r="F11" s="53" t="s">
        <v>79</v>
      </c>
    </row>
    <row r="12" customFormat="false" ht="19.5" hidden="false" customHeight="true" outlineLevel="0" collapsed="false">
      <c r="A12" s="42" t="s">
        <v>80</v>
      </c>
      <c r="B12" s="63" t="n">
        <f aca="false">'College Inputs'!H6/'College Inputs'!D6</f>
        <v>5555.55555555556</v>
      </c>
      <c r="C12" s="63" t="n">
        <f aca="false">'College Inputs'!H7/'College Inputs'!D7</f>
        <v>5000</v>
      </c>
      <c r="D12" s="63" t="n">
        <f aca="false">'College Inputs'!H8/'College Inputs'!D8</f>
        <v>4444.44444444444</v>
      </c>
      <c r="E12" s="63" t="n">
        <f aca="false">'College Inputs'!H9/'College Inputs'!D9</f>
        <v>4166.66666666667</v>
      </c>
      <c r="F12" s="63"/>
    </row>
    <row r="14" customFormat="false" ht="21.75" hidden="false" customHeight="true" outlineLevel="0" collapsed="false">
      <c r="A14" s="64" t="s">
        <v>81</v>
      </c>
      <c r="B14" s="64"/>
      <c r="C14" s="64"/>
      <c r="D14" s="64"/>
      <c r="E14" s="64"/>
      <c r="F14" s="64"/>
    </row>
    <row r="15" customFormat="false" ht="30" hidden="false" customHeight="true" outlineLevel="0" collapsed="false">
      <c r="A15" s="65" t="s">
        <v>82</v>
      </c>
      <c r="B15" s="65" t="s">
        <v>83</v>
      </c>
      <c r="C15" s="65" t="s">
        <v>84</v>
      </c>
      <c r="D15" s="65" t="s">
        <v>85</v>
      </c>
      <c r="E15" s="65" t="s">
        <v>86</v>
      </c>
      <c r="F15" s="65" t="s">
        <v>87</v>
      </c>
    </row>
    <row r="16" customFormat="false" ht="15" hidden="false" customHeight="false" outlineLevel="0" collapsed="false">
      <c r="A16" s="66" t="s">
        <v>88</v>
      </c>
      <c r="B16" s="67" t="n">
        <v>3</v>
      </c>
      <c r="C16" s="68" t="n">
        <f aca="false">'College Inputs'!$H$6+'College Inputs'!$H$6+'College Inputs'!$H$6</f>
        <v>150000</v>
      </c>
      <c r="D16" s="69" t="n">
        <f aca="false">'College Inputs'!$B$40</f>
        <v>0.15</v>
      </c>
      <c r="E16" s="70" t="n">
        <f aca="false">C16*(1-D16)</f>
        <v>127500</v>
      </c>
      <c r="F16" s="68" t="n">
        <f aca="false">E16/('College Inputs'!$D$6+'College Inputs'!$D$6+'College Inputs'!$D$6)</f>
        <v>4722.22222222222</v>
      </c>
    </row>
    <row r="17" customFormat="false" ht="15" hidden="false" customHeight="false" outlineLevel="0" collapsed="false">
      <c r="A17" s="66" t="s">
        <v>89</v>
      </c>
      <c r="B17" s="67" t="n">
        <v>3</v>
      </c>
      <c r="C17" s="68" t="n">
        <f aca="false">'College Inputs'!$H$7+'College Inputs'!$H$7+'College Inputs'!$H$7</f>
        <v>180000</v>
      </c>
      <c r="D17" s="69" t="n">
        <f aca="false">'College Inputs'!$B$40</f>
        <v>0.15</v>
      </c>
      <c r="E17" s="70" t="n">
        <f aca="false">C17*(1-D17)</f>
        <v>153000</v>
      </c>
      <c r="F17" s="68" t="n">
        <f aca="false">E17/('College Inputs'!$D$7+'College Inputs'!$D$7+'College Inputs'!$D$7)</f>
        <v>4250</v>
      </c>
    </row>
    <row r="18" customFormat="false" ht="15" hidden="false" customHeight="false" outlineLevel="0" collapsed="false">
      <c r="A18" s="66" t="s">
        <v>90</v>
      </c>
      <c r="B18" s="67" t="n">
        <v>3</v>
      </c>
      <c r="C18" s="68" t="n">
        <f aca="false">'College Inputs'!$H$8+'College Inputs'!$H$8+'College Inputs'!$H$8</f>
        <v>240000</v>
      </c>
      <c r="D18" s="69" t="n">
        <f aca="false">'College Inputs'!$B$40</f>
        <v>0.15</v>
      </c>
      <c r="E18" s="70" t="n">
        <f aca="false">C18*(1-D18)</f>
        <v>204000</v>
      </c>
      <c r="F18" s="68" t="n">
        <f aca="false">E18/('College Inputs'!$D$8+'College Inputs'!$D$8+'College Inputs'!$D$8)</f>
        <v>3777.77777777778</v>
      </c>
    </row>
    <row r="19" customFormat="false" ht="15" hidden="false" customHeight="false" outlineLevel="0" collapsed="false">
      <c r="A19" s="66" t="s">
        <v>91</v>
      </c>
      <c r="B19" s="67" t="n">
        <v>3</v>
      </c>
      <c r="C19" s="68" t="n">
        <f aca="false">'College Inputs'!$H$9+'College Inputs'!$H$9+'College Inputs'!$H$9</f>
        <v>300000</v>
      </c>
      <c r="D19" s="69" t="n">
        <f aca="false">'College Inputs'!$B$40</f>
        <v>0.15</v>
      </c>
      <c r="E19" s="70" t="n">
        <f aca="false">C19*(1-D19)</f>
        <v>255000</v>
      </c>
      <c r="F19" s="68" t="n">
        <f aca="false">E19/('College Inputs'!$D$9+'College Inputs'!$D$9+'College Inputs'!$D$9)</f>
        <v>3541.66666666667</v>
      </c>
    </row>
    <row r="20" customFormat="false" ht="15" hidden="false" customHeight="false" outlineLevel="0" collapsed="false">
      <c r="A20" s="66" t="s">
        <v>92</v>
      </c>
      <c r="B20" s="67" t="n">
        <v>3</v>
      </c>
      <c r="C20" s="68" t="n">
        <f aca="false">'College Inputs'!$H$7+'College Inputs'!$H$6+'College Inputs'!$H$6</f>
        <v>160000</v>
      </c>
      <c r="D20" s="69" t="n">
        <f aca="false">'College Inputs'!$B$40</f>
        <v>0.15</v>
      </c>
      <c r="E20" s="70" t="n">
        <f aca="false">C20*(1-D20)</f>
        <v>136000</v>
      </c>
      <c r="F20" s="68" t="n">
        <f aca="false">E20/('College Inputs'!$D$7+'College Inputs'!$D$6+'College Inputs'!$D$6)</f>
        <v>4533.33333333333</v>
      </c>
    </row>
    <row r="21" customFormat="false" ht="15" hidden="false" customHeight="false" outlineLevel="0" collapsed="false">
      <c r="A21" s="66" t="s">
        <v>93</v>
      </c>
      <c r="B21" s="67" t="n">
        <v>1</v>
      </c>
      <c r="C21" s="68" t="n">
        <f aca="false">'College Inputs'!$H$9</f>
        <v>100000</v>
      </c>
      <c r="D21" s="69" t="n">
        <v>0</v>
      </c>
      <c r="E21" s="70" t="n">
        <f aca="false">C21*(1-D21)</f>
        <v>100000</v>
      </c>
      <c r="F21" s="68" t="n">
        <f aca="false">E21/('College Inputs'!$D$9)</f>
        <v>4166.66666666667</v>
      </c>
    </row>
    <row r="23" customFormat="false" ht="21.75" hidden="false" customHeight="true" outlineLevel="0" collapsed="false">
      <c r="A23" s="64" t="s">
        <v>94</v>
      </c>
      <c r="B23" s="64"/>
      <c r="C23" s="64"/>
      <c r="D23" s="64"/>
      <c r="E23" s="64"/>
      <c r="F23" s="64"/>
    </row>
    <row r="24" customFormat="false" ht="30" hidden="false" customHeight="true" outlineLevel="0" collapsed="false">
      <c r="A24" s="65" t="s">
        <v>95</v>
      </c>
      <c r="B24" s="65" t="s">
        <v>96</v>
      </c>
      <c r="C24" s="65" t="s">
        <v>97</v>
      </c>
      <c r="D24" s="65"/>
      <c r="E24" s="65"/>
      <c r="F24" s="65"/>
    </row>
    <row r="25" customFormat="false" ht="21.75" hidden="false" customHeight="true" outlineLevel="0" collapsed="false">
      <c r="A25" s="66" t="s">
        <v>98</v>
      </c>
      <c r="B25" s="71" t="n">
        <f aca="false">'College Inputs'!$B$13</f>
        <v>3000</v>
      </c>
      <c r="C25" s="72" t="s">
        <v>99</v>
      </c>
      <c r="D25" s="72"/>
      <c r="E25" s="72"/>
      <c r="F25" s="72"/>
    </row>
    <row r="26" customFormat="false" ht="21.75" hidden="false" customHeight="true" outlineLevel="0" collapsed="false">
      <c r="A26" s="66" t="s">
        <v>100</v>
      </c>
      <c r="B26" s="71" t="n">
        <f aca="false">'College Inputs'!$B$14</f>
        <v>4000</v>
      </c>
      <c r="C26" s="72" t="s">
        <v>101</v>
      </c>
      <c r="D26" s="72"/>
      <c r="E26" s="72"/>
      <c r="F26" s="72"/>
    </row>
    <row r="27" customFormat="false" ht="21.75" hidden="false" customHeight="true" outlineLevel="0" collapsed="false">
      <c r="A27" s="66" t="s">
        <v>102</v>
      </c>
      <c r="B27" s="71" t="n">
        <f aca="false">'College Inputs'!$B$15</f>
        <v>5000</v>
      </c>
      <c r="C27" s="72" t="s">
        <v>103</v>
      </c>
      <c r="D27" s="72"/>
      <c r="E27" s="72"/>
      <c r="F27" s="72"/>
    </row>
    <row r="28" customFormat="false" ht="21.75" hidden="false" customHeight="true" outlineLevel="0" collapsed="false">
      <c r="A28" s="66" t="s">
        <v>104</v>
      </c>
      <c r="B28" s="71" t="n">
        <f aca="false">'College Inputs'!$B$16</f>
        <v>4000</v>
      </c>
      <c r="C28" s="72" t="s">
        <v>105</v>
      </c>
      <c r="D28" s="72"/>
      <c r="E28" s="72"/>
      <c r="F28" s="72"/>
    </row>
    <row r="29" customFormat="false" ht="21.75" hidden="false" customHeight="true" outlineLevel="0" collapsed="false">
      <c r="A29" s="66" t="s">
        <v>106</v>
      </c>
      <c r="B29" s="71" t="n">
        <f aca="false">'College Inputs'!$B$17</f>
        <v>6000</v>
      </c>
      <c r="C29" s="72" t="s">
        <v>107</v>
      </c>
      <c r="D29" s="72"/>
      <c r="E29" s="72"/>
      <c r="F29" s="72"/>
    </row>
    <row r="30" customFormat="false" ht="21.75" hidden="false" customHeight="true" outlineLevel="0" collapsed="false">
      <c r="A30" s="66" t="s">
        <v>108</v>
      </c>
      <c r="B30" s="73" t="s">
        <v>109</v>
      </c>
      <c r="C30" s="72" t="s">
        <v>110</v>
      </c>
      <c r="D30" s="72"/>
      <c r="E30" s="72"/>
      <c r="F30" s="72"/>
    </row>
    <row r="32" customFormat="false" ht="21.75" hidden="false" customHeight="true" outlineLevel="0" collapsed="false">
      <c r="A32" s="64" t="s">
        <v>111</v>
      </c>
      <c r="B32" s="64"/>
      <c r="C32" s="64"/>
      <c r="D32" s="64"/>
      <c r="E32" s="64"/>
      <c r="F32" s="64"/>
    </row>
    <row r="33" customFormat="false" ht="30" hidden="false" customHeight="true" outlineLevel="0" collapsed="false">
      <c r="A33" s="65" t="s">
        <v>112</v>
      </c>
      <c r="B33" s="65" t="str">
        <f aca="false">'College Inputs'!A22</f>
        <v>Interns 20</v>
      </c>
      <c r="C33" s="65" t="str">
        <f aca="false">'College Inputs'!A23</f>
        <v>Interns 40</v>
      </c>
      <c r="D33" s="65" t="str">
        <f aca="false">'College Inputs'!A24</f>
        <v>Interns 60</v>
      </c>
      <c r="E33" s="65" t="str">
        <f aca="false">'College Inputs'!A25</f>
        <v>Interns 80</v>
      </c>
      <c r="F33" s="65" t="str">
        <f aca="false">'College Inputs'!A26</f>
        <v>Interns 100</v>
      </c>
    </row>
    <row r="34" customFormat="false" ht="15" hidden="false" customHeight="false" outlineLevel="0" collapsed="false">
      <c r="A34" s="74" t="s">
        <v>113</v>
      </c>
      <c r="B34" s="75" t="n">
        <f aca="false">'College Inputs'!D22</f>
        <v>15000</v>
      </c>
      <c r="C34" s="75" t="n">
        <f aca="false">'College Inputs'!D23</f>
        <v>28000</v>
      </c>
      <c r="D34" s="75" t="n">
        <f aca="false">'College Inputs'!D24</f>
        <v>40000</v>
      </c>
      <c r="E34" s="75" t="n">
        <f aca="false">'College Inputs'!D25</f>
        <v>50000</v>
      </c>
      <c r="F34" s="75" t="n">
        <f aca="false">'College Inputs'!D26</f>
        <v>60000</v>
      </c>
    </row>
    <row r="35" customFormat="false" ht="15" hidden="false" customHeight="false" outlineLevel="0" collapsed="false">
      <c r="A35" s="74" t="s">
        <v>114</v>
      </c>
      <c r="B35" s="76" t="n">
        <f aca="false">'College Inputs'!E22</f>
        <v>750</v>
      </c>
      <c r="C35" s="76" t="n">
        <f aca="false">'College Inputs'!E23</f>
        <v>700</v>
      </c>
      <c r="D35" s="76" t="n">
        <f aca="false">'College Inputs'!E24</f>
        <v>666.666666666667</v>
      </c>
      <c r="E35" s="76" t="n">
        <f aca="false">'College Inputs'!E25</f>
        <v>625</v>
      </c>
      <c r="F35" s="76" t="n">
        <f aca="false">'College Inputs'!E26</f>
        <v>600</v>
      </c>
    </row>
    <row r="36" customFormat="false" ht="15" hidden="false" customHeight="false" outlineLevel="0" collapsed="false">
      <c r="A36" s="77" t="str">
        <f aca="false">"More than 100 interns: Interns 100 price plus "&amp;TEXT('College Inputs'!$B$27,"#,##0")&amp;" rupees per extra intern. Billed on the interns who will place implants that year."</f>
        <v>More than 100 interns: Interns 100 price plus 600 rupees per extra intern. Billed on the interns who will place implants that year.</v>
      </c>
      <c r="B36" s="77"/>
      <c r="C36" s="77"/>
      <c r="D36" s="77"/>
      <c r="E36" s="77"/>
      <c r="F36" s="77"/>
    </row>
    <row r="38" customFormat="false" ht="21.75" hidden="false" customHeight="true" outlineLevel="0" collapsed="false">
      <c r="A38" s="64" t="s">
        <v>115</v>
      </c>
      <c r="B38" s="64"/>
      <c r="C38" s="64"/>
      <c r="D38" s="64"/>
      <c r="E38" s="64"/>
      <c r="F38" s="64"/>
    </row>
    <row r="39" customFormat="false" ht="30" hidden="false" customHeight="true" outlineLevel="0" collapsed="false">
      <c r="A39" s="65" t="s">
        <v>116</v>
      </c>
      <c r="B39" s="65" t="s">
        <v>96</v>
      </c>
      <c r="C39" s="65" t="s">
        <v>117</v>
      </c>
      <c r="D39" s="65" t="s">
        <v>118</v>
      </c>
      <c r="E39" s="65"/>
      <c r="F39" s="65"/>
    </row>
    <row r="40" customFormat="false" ht="15" hidden="false" customHeight="true" outlineLevel="0" collapsed="false">
      <c r="A40" s="74" t="s">
        <v>119</v>
      </c>
      <c r="B40" s="71" t="n">
        <f aca="false">'College Inputs'!$B$32</f>
        <v>40000</v>
      </c>
      <c r="C40" s="78" t="s">
        <v>120</v>
      </c>
      <c r="D40" s="72" t="s">
        <v>121</v>
      </c>
      <c r="E40" s="72"/>
      <c r="F40" s="72"/>
    </row>
    <row r="41" customFormat="false" ht="15" hidden="false" customHeight="true" outlineLevel="0" collapsed="false">
      <c r="A41" s="74" t="s">
        <v>122</v>
      </c>
      <c r="B41" s="71" t="n">
        <f aca="false">'College Inputs'!$B$33</f>
        <v>25000</v>
      </c>
      <c r="C41" s="78" t="s">
        <v>123</v>
      </c>
      <c r="D41" s="72" t="s">
        <v>124</v>
      </c>
      <c r="E41" s="72"/>
      <c r="F41" s="72"/>
    </row>
    <row r="42" customFormat="false" ht="15" hidden="false" customHeight="true" outlineLevel="0" collapsed="false">
      <c r="A42" s="74" t="s">
        <v>125</v>
      </c>
      <c r="B42" s="71" t="n">
        <f aca="false">'College Inputs'!$B$35</f>
        <v>2500</v>
      </c>
      <c r="C42" s="78" t="s">
        <v>126</v>
      </c>
      <c r="D42" s="72" t="s">
        <v>127</v>
      </c>
      <c r="E42" s="72"/>
      <c r="F42" s="72"/>
    </row>
    <row r="44" customFormat="false" ht="21.75" hidden="false" customHeight="true" outlineLevel="0" collapsed="false">
      <c r="A44" s="64" t="s">
        <v>128</v>
      </c>
      <c r="B44" s="64"/>
      <c r="C44" s="64"/>
      <c r="D44" s="64"/>
      <c r="E44" s="64"/>
      <c r="F44" s="64"/>
    </row>
    <row r="45" customFormat="false" ht="30" hidden="false" customHeight="true" outlineLevel="0" collapsed="false">
      <c r="A45" s="65" t="s">
        <v>28</v>
      </c>
      <c r="B45" s="65" t="s">
        <v>129</v>
      </c>
      <c r="C45" s="65" t="s">
        <v>64</v>
      </c>
      <c r="D45" s="65"/>
      <c r="E45" s="65"/>
      <c r="F45" s="65"/>
    </row>
    <row r="46" customFormat="false" ht="19.5" hidden="false" customHeight="true" outlineLevel="0" collapsed="false">
      <c r="A46" s="79" t="s">
        <v>130</v>
      </c>
      <c r="B46" s="80" t="s">
        <v>33</v>
      </c>
      <c r="C46" s="80" t="s">
        <v>33</v>
      </c>
    </row>
    <row r="47" customFormat="false" ht="19.5" hidden="false" customHeight="true" outlineLevel="0" collapsed="false">
      <c r="A47" s="79" t="s">
        <v>131</v>
      </c>
      <c r="B47" s="80" t="s">
        <v>33</v>
      </c>
      <c r="C47" s="80" t="s">
        <v>33</v>
      </c>
    </row>
    <row r="48" customFormat="false" ht="19.5" hidden="false" customHeight="true" outlineLevel="0" collapsed="false">
      <c r="A48" s="79" t="s">
        <v>132</v>
      </c>
      <c r="B48" s="80" t="s">
        <v>33</v>
      </c>
      <c r="C48" s="80" t="s">
        <v>33</v>
      </c>
    </row>
    <row r="49" customFormat="false" ht="19.5" hidden="false" customHeight="true" outlineLevel="0" collapsed="false">
      <c r="A49" s="79" t="s">
        <v>133</v>
      </c>
      <c r="B49" s="80" t="s">
        <v>33</v>
      </c>
      <c r="C49" s="80" t="s">
        <v>33</v>
      </c>
    </row>
    <row r="50" customFormat="false" ht="19.5" hidden="false" customHeight="true" outlineLevel="0" collapsed="false">
      <c r="A50" s="79" t="s">
        <v>134</v>
      </c>
      <c r="B50" s="80" t="s">
        <v>33</v>
      </c>
      <c r="C50" s="80" t="s">
        <v>33</v>
      </c>
    </row>
    <row r="51" customFormat="false" ht="19.5" hidden="false" customHeight="true" outlineLevel="0" collapsed="false">
      <c r="A51" s="79" t="s">
        <v>135</v>
      </c>
      <c r="B51" s="80" t="s">
        <v>33</v>
      </c>
      <c r="C51" s="80" t="s">
        <v>33</v>
      </c>
    </row>
    <row r="52" customFormat="false" ht="19.5" hidden="false" customHeight="true" outlineLevel="0" collapsed="false">
      <c r="A52" s="79" t="s">
        <v>136</v>
      </c>
      <c r="B52" s="80" t="s">
        <v>33</v>
      </c>
      <c r="C52" s="80" t="s">
        <v>33</v>
      </c>
    </row>
    <row r="53" customFormat="false" ht="19.5" hidden="false" customHeight="true" outlineLevel="0" collapsed="false">
      <c r="A53" s="79" t="s">
        <v>137</v>
      </c>
      <c r="B53" s="80" t="s">
        <v>33</v>
      </c>
      <c r="C53" s="80" t="s">
        <v>33</v>
      </c>
    </row>
    <row r="54" customFormat="false" ht="19.5" hidden="false" customHeight="true" outlineLevel="0" collapsed="false">
      <c r="A54" s="79" t="s">
        <v>138</v>
      </c>
      <c r="B54" s="80" t="s">
        <v>33</v>
      </c>
      <c r="C54" s="80" t="s">
        <v>33</v>
      </c>
    </row>
    <row r="55" customFormat="false" ht="19.5" hidden="false" customHeight="true" outlineLevel="0" collapsed="false">
      <c r="A55" s="79" t="s">
        <v>139</v>
      </c>
      <c r="B55" s="81" t="s">
        <v>140</v>
      </c>
      <c r="C55" s="80" t="s">
        <v>33</v>
      </c>
    </row>
    <row r="56" customFormat="false" ht="19.5" hidden="false" customHeight="true" outlineLevel="0" collapsed="false">
      <c r="A56" s="79" t="s">
        <v>141</v>
      </c>
      <c r="B56" s="80" t="s">
        <v>33</v>
      </c>
      <c r="C56" s="80" t="s">
        <v>33</v>
      </c>
    </row>
    <row r="57" customFormat="false" ht="19.5" hidden="false" customHeight="true" outlineLevel="0" collapsed="false">
      <c r="A57" s="79" t="s">
        <v>142</v>
      </c>
      <c r="B57" s="81" t="s">
        <v>140</v>
      </c>
      <c r="C57" s="80" t="s">
        <v>33</v>
      </c>
    </row>
    <row r="58" customFormat="false" ht="19.5" hidden="false" customHeight="true" outlineLevel="0" collapsed="false">
      <c r="A58" s="79" t="s">
        <v>143</v>
      </c>
      <c r="B58" s="80" t="s">
        <v>33</v>
      </c>
      <c r="C58" s="80" t="s">
        <v>33</v>
      </c>
    </row>
    <row r="59" customFormat="false" ht="19.5" hidden="false" customHeight="true" outlineLevel="0" collapsed="false">
      <c r="A59" s="79" t="s">
        <v>144</v>
      </c>
      <c r="B59" s="78" t="s">
        <v>145</v>
      </c>
      <c r="C59" s="78" t="s">
        <v>146</v>
      </c>
    </row>
    <row r="61" customFormat="false" ht="21.75" hidden="false" customHeight="true" outlineLevel="0" collapsed="false">
      <c r="A61" s="64" t="s">
        <v>147</v>
      </c>
      <c r="B61" s="64"/>
      <c r="C61" s="64"/>
      <c r="D61" s="64"/>
      <c r="E61" s="64"/>
      <c r="F61" s="64"/>
    </row>
    <row r="62" customFormat="false" ht="30" hidden="false" customHeight="true" outlineLevel="0" collapsed="false">
      <c r="A62" s="65" t="s">
        <v>148</v>
      </c>
      <c r="B62" s="65" t="s">
        <v>149</v>
      </c>
      <c r="C62" s="65"/>
      <c r="D62" s="65"/>
      <c r="E62" s="65" t="s">
        <v>150</v>
      </c>
      <c r="F62" s="65"/>
    </row>
    <row r="63" customFormat="false" ht="27.75" hidden="false" customHeight="true" outlineLevel="0" collapsed="false">
      <c r="A63" s="66" t="s">
        <v>151</v>
      </c>
      <c r="B63" s="72" t="s">
        <v>152</v>
      </c>
      <c r="C63" s="72"/>
      <c r="D63" s="72"/>
      <c r="E63" s="82" t="s">
        <v>153</v>
      </c>
      <c r="F63" s="82"/>
    </row>
    <row r="64" customFormat="false" ht="27.75" hidden="false" customHeight="true" outlineLevel="0" collapsed="false">
      <c r="A64" s="66" t="s">
        <v>154</v>
      </c>
      <c r="B64" s="72" t="s">
        <v>155</v>
      </c>
      <c r="C64" s="72"/>
      <c r="D64" s="72"/>
      <c r="E64" s="82" t="s">
        <v>156</v>
      </c>
      <c r="F64" s="82"/>
    </row>
    <row r="65" customFormat="false" ht="27.75" hidden="false" customHeight="true" outlineLevel="0" collapsed="false">
      <c r="A65" s="66" t="s">
        <v>157</v>
      </c>
      <c r="B65" s="72" t="s">
        <v>158</v>
      </c>
      <c r="C65" s="72"/>
      <c r="D65" s="72"/>
      <c r="E65" s="82" t="s">
        <v>109</v>
      </c>
      <c r="F65" s="82"/>
    </row>
    <row r="66" customFormat="false" ht="27.75" hidden="false" customHeight="true" outlineLevel="0" collapsed="false">
      <c r="A66" s="66" t="s">
        <v>159</v>
      </c>
      <c r="B66" s="72" t="s">
        <v>160</v>
      </c>
      <c r="C66" s="72"/>
      <c r="D66" s="72"/>
      <c r="E66" s="82" t="s">
        <v>161</v>
      </c>
      <c r="F66" s="82"/>
    </row>
    <row r="67" customFormat="false" ht="27.75" hidden="false" customHeight="true" outlineLevel="0" collapsed="false">
      <c r="A67" s="66" t="s">
        <v>162</v>
      </c>
      <c r="B67" s="72" t="s">
        <v>163</v>
      </c>
      <c r="C67" s="72"/>
      <c r="D67" s="72"/>
      <c r="E67" s="82" t="s">
        <v>164</v>
      </c>
      <c r="F67" s="82"/>
    </row>
    <row r="68" customFormat="false" ht="27.75" hidden="false" customHeight="true" outlineLevel="0" collapsed="false">
      <c r="A68" s="66" t="s">
        <v>165</v>
      </c>
      <c r="B68" s="72" t="s">
        <v>166</v>
      </c>
      <c r="C68" s="72"/>
      <c r="D68" s="72"/>
      <c r="E68" s="82" t="s">
        <v>164</v>
      </c>
      <c r="F68" s="82"/>
    </row>
    <row r="69" customFormat="false" ht="27.75" hidden="false" customHeight="true" outlineLevel="0" collapsed="false">
      <c r="A69" s="66" t="s">
        <v>167</v>
      </c>
      <c r="B69" s="72" t="s">
        <v>168</v>
      </c>
      <c r="C69" s="72"/>
      <c r="D69" s="72"/>
      <c r="E69" s="82" t="s">
        <v>164</v>
      </c>
      <c r="F69" s="82"/>
    </row>
    <row r="70" customFormat="false" ht="27.75" hidden="false" customHeight="true" outlineLevel="0" collapsed="false">
      <c r="A70" s="66" t="s">
        <v>169</v>
      </c>
      <c r="B70" s="72" t="s">
        <v>170</v>
      </c>
      <c r="C70" s="72"/>
      <c r="D70" s="72"/>
      <c r="E70" s="82" t="s">
        <v>171</v>
      </c>
      <c r="F70" s="82"/>
    </row>
    <row r="72" customFormat="false" ht="21.75" hidden="false" customHeight="true" outlineLevel="0" collapsed="false">
      <c r="A72" s="64" t="s">
        <v>172</v>
      </c>
      <c r="B72" s="64"/>
      <c r="C72" s="64"/>
      <c r="D72" s="64"/>
      <c r="E72" s="64"/>
      <c r="F72" s="64"/>
    </row>
    <row r="73" customFormat="false" ht="21.75" hidden="false" customHeight="true" outlineLevel="0" collapsed="false">
      <c r="A73" s="83" t="str">
        <f aca="false">"Annual billing only, aligned to the start of the MDS academic session (first year pro-rated). All prices exclude GST at "&amp;TEXT('College Inputs'!$B$48,"0%")&amp;"."</f>
        <v>Annual billing only, aligned to the start of the MDS academic session (first year pro-rated). All prices exclude GST at 18%.</v>
      </c>
      <c r="B73" s="83"/>
      <c r="C73" s="83"/>
      <c r="D73" s="83"/>
      <c r="E73" s="83"/>
      <c r="F73" s="83"/>
    </row>
    <row r="74" customFormat="false" ht="21.75" hidden="false" customHeight="true" outlineLevel="0" collapsed="false">
      <c r="A74" s="83" t="str">
        <f aca="false">"Volume discount on licence fees: "&amp;TEXT('College Inputs'!$B$39,"0%")&amp;" for 2 licences, "&amp;TEXT('College Inputs'!$B$40,"0%")&amp;" for 3 or more. University groups get "&amp;TEXT('College Inputs'!$B$41,"0%")&amp;" instead, whichever is higher."</f>
        <v>Volume discount on licence fees: 10% for 2 licences, 15% for 3 or more. University groups get 15% instead, whichever is higher.</v>
      </c>
      <c r="B74" s="83"/>
      <c r="C74" s="83"/>
      <c r="D74" s="83"/>
      <c r="E74" s="83"/>
      <c r="F74" s="83"/>
    </row>
    <row r="75" customFormat="false" ht="21.75" hidden="false" customHeight="true" outlineLevel="0" collapsed="false">
      <c r="A75" s="83" t="str">
        <f aca="false">"Founding institutions (first "&amp;'College Inputs'!$B$43&amp;" colleges): "&amp;TEXT('College Inputs'!$B$42,"0%")&amp;" off, price locked for 3 years. Government colleges: "&amp;TEXT('College Inputs'!$B$44,"0%")&amp;" off. 3-year prepaid: "&amp;TEXT('College Inputs'!$B$45,"0%")&amp;" off and setup waived."</f>
        <v>Founding institutions (first 20 colleges): 25% off, price locked for 3 years. Government colleges: 20% off. 3-year prepaid: 10% off and setup waived.</v>
      </c>
      <c r="B75" s="83"/>
      <c r="C75" s="83"/>
      <c r="D75" s="83"/>
      <c r="E75" s="83"/>
      <c r="F75" s="83"/>
    </row>
    <row r="76" customFormat="false" ht="21.75" hidden="false" customHeight="true" outlineLevel="0" collapsed="false">
      <c r="A76" s="83" t="str">
        <f aca="false">"These commercial discounts stack but never exceed "&amp;TEXT('College Inputs'!$B$46,"0%")&amp;" in total. Renewal prices rise "&amp;TEXT('College Inputs'!$B$47,"0%")&amp;" a year (founding colleges excepted while locked)."</f>
        <v>These commercial discounts stack but never exceed 30% in total. Renewal prices rise 7% a year (founding colleges excepted while locked).</v>
      </c>
      <c r="B76" s="83"/>
      <c r="C76" s="83"/>
      <c r="D76" s="83"/>
      <c r="E76" s="83"/>
      <c r="F76" s="83"/>
    </row>
    <row r="77" customFormat="false" ht="21.75" hidden="false" customHeight="true" outlineLevel="0" collapsed="false">
      <c r="A77" s="83" t="str">
        <f aca="false">"Included supervisors, in-charges and admins are pooled across all of a college's licences: only the college total above the pool is charged."</f>
        <v>Included supervisors, in-charges and admins are pooled across all of a college's licences: only the college total above the pool is charged.</v>
      </c>
      <c r="B77" s="83"/>
      <c r="C77" s="83"/>
      <c r="D77" s="83"/>
      <c r="E77" s="83"/>
      <c r="F77" s="83"/>
    </row>
    <row r="78" customFormat="false" ht="21.75" hidden="false" customHeight="true" outlineLevel="0" collapsed="false">
      <c r="A78" s="83" t="str">
        <f aca="false">"If NDC raises a department's seats mid-year, the price holds until renewal; the tier is reset at renewal."</f>
        <v>If NDC raises a department's seats mid-year, the price holds until renewal; the tier is reset at renewal.</v>
      </c>
      <c r="B78" s="83"/>
      <c r="C78" s="83"/>
      <c r="D78" s="83"/>
      <c r="E78" s="83"/>
      <c r="F78" s="83"/>
    </row>
    <row r="79" customFormat="false" ht="21.75" hidden="false" customHeight="true" outlineLevel="0" collapsed="false">
      <c r="A79" s="83" t="str">
        <f aca="false">"Fair use: "&amp;'College Inputs'!$B$50&amp;" GB of images per licence; above that, extra storage is charged per 100 GB."</f>
        <v>Fair use: 250 GB of images per licence; above that, extra storage is charged per 100 GB.</v>
      </c>
      <c r="B79" s="83"/>
      <c r="C79" s="83"/>
      <c r="D79" s="83"/>
      <c r="E79" s="83"/>
      <c r="F79" s="83"/>
    </row>
    <row r="80" customFormat="false" ht="21.75" hidden="false" customHeight="true" outlineLevel="0" collapsed="false">
      <c r="A80" s="83" t="str">
        <f aca="false">"Licence covers patients treated in the college teaching hospital only. Faculty private practice needs a clinic plan."</f>
        <v>Licence covers patients treated in the college teaching hospital only. Faculty private practice needs a clinic plan.</v>
      </c>
      <c r="B80" s="83"/>
      <c r="C80" s="83"/>
      <c r="D80" s="83"/>
      <c r="E80" s="83"/>
      <c r="F80" s="83"/>
    </row>
    <row r="81" customFormat="false" ht="21.75" hidden="false" customHeight="true" outlineLevel="0" collapsed="false">
      <c r="A81" s="83" t="str">
        <f aca="false">"Data belongs to the college. Full export at any time, including after the licence ends."</f>
        <v>Data belongs to the college. Full export at any time, including after the licence ends.</v>
      </c>
      <c r="B81" s="83"/>
      <c r="C81" s="83"/>
      <c r="D81" s="83"/>
      <c r="E81" s="83"/>
      <c r="F81" s="83"/>
    </row>
  </sheetData>
  <mergeCells count="48">
    <mergeCell ref="A1:F1"/>
    <mergeCell ref="A2:F2"/>
    <mergeCell ref="A14:F14"/>
    <mergeCell ref="A23:F23"/>
    <mergeCell ref="C24:F24"/>
    <mergeCell ref="C25:F25"/>
    <mergeCell ref="C26:F26"/>
    <mergeCell ref="C27:F27"/>
    <mergeCell ref="C28:F28"/>
    <mergeCell ref="C29:F29"/>
    <mergeCell ref="C30:F30"/>
    <mergeCell ref="A32:F32"/>
    <mergeCell ref="A36:F36"/>
    <mergeCell ref="A38:F38"/>
    <mergeCell ref="D39:F39"/>
    <mergeCell ref="D40:F40"/>
    <mergeCell ref="D41:F41"/>
    <mergeCell ref="D42:F42"/>
    <mergeCell ref="A44:F44"/>
    <mergeCell ref="A61:F61"/>
    <mergeCell ref="B62:D62"/>
    <mergeCell ref="E62:F62"/>
    <mergeCell ref="B63:D63"/>
    <mergeCell ref="E63:F63"/>
    <mergeCell ref="B64:D64"/>
    <mergeCell ref="E64:F64"/>
    <mergeCell ref="B65:D65"/>
    <mergeCell ref="E65:F65"/>
    <mergeCell ref="B66:D66"/>
    <mergeCell ref="E66:F66"/>
    <mergeCell ref="B67:D67"/>
    <mergeCell ref="E67:F67"/>
    <mergeCell ref="B68:D68"/>
    <mergeCell ref="E68:F68"/>
    <mergeCell ref="B69:D69"/>
    <mergeCell ref="E69:F69"/>
    <mergeCell ref="B70:D70"/>
    <mergeCell ref="E70:F70"/>
    <mergeCell ref="A72:F72"/>
    <mergeCell ref="A73:F73"/>
    <mergeCell ref="A74:F74"/>
    <mergeCell ref="A75:F75"/>
    <mergeCell ref="A76:F76"/>
    <mergeCell ref="A77:F77"/>
    <mergeCell ref="A78:F78"/>
    <mergeCell ref="A79:F79"/>
    <mergeCell ref="A80:F80"/>
    <mergeCell ref="A81:F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15"/>
  </cols>
  <sheetData>
    <row r="1" customFormat="false" ht="61.5" hidden="false" customHeight="true" outlineLevel="0" collapsed="false">
      <c r="A1" s="84" t="str">
        <f aca="false">"Implanr — Quote for "&amp;IF(TRIM(B5)="","[College name]",B5)</f>
        <v>Implanr — Quote for Example Dental College</v>
      </c>
      <c r="B1" s="84"/>
      <c r="C1" s="84"/>
      <c r="D1" s="84"/>
      <c r="E1" s="84"/>
      <c r="F1" s="84"/>
      <c r="G1" s="84"/>
      <c r="H1" s="84"/>
      <c r="I1" s="84"/>
      <c r="J1" s="84"/>
    </row>
    <row r="2" customFormat="false" ht="31.5" hidden="false" customHeight="true" outlineLevel="0" collapsed="false">
      <c r="A2" s="41" t="s">
        <v>173</v>
      </c>
      <c r="B2" s="41"/>
      <c r="C2" s="41"/>
      <c r="D2" s="41"/>
      <c r="E2" s="41"/>
      <c r="F2" s="41"/>
      <c r="G2" s="41"/>
      <c r="H2" s="41"/>
      <c r="I2" s="41"/>
      <c r="J2" s="41"/>
    </row>
    <row r="4" customFormat="false" ht="21.75" hidden="false" customHeight="true" outlineLevel="0" collapsed="false">
      <c r="A4" s="64" t="s">
        <v>174</v>
      </c>
      <c r="B4" s="64"/>
      <c r="C4" s="64"/>
      <c r="D4" s="64"/>
      <c r="E4" s="64"/>
      <c r="F4" s="64" t="s">
        <v>175</v>
      </c>
      <c r="G4" s="64"/>
      <c r="H4" s="64"/>
      <c r="I4" s="64"/>
      <c r="J4" s="64"/>
    </row>
    <row r="5" customFormat="false" ht="22.35" hidden="false" customHeight="true" outlineLevel="0" collapsed="false">
      <c r="A5" s="85" t="s">
        <v>176</v>
      </c>
      <c r="B5" s="86" t="s">
        <v>177</v>
      </c>
      <c r="C5" s="87"/>
      <c r="D5" s="87"/>
      <c r="E5" s="87"/>
      <c r="F5" s="88" t="s">
        <v>178</v>
      </c>
      <c r="G5" s="88"/>
      <c r="H5" s="89" t="s">
        <v>179</v>
      </c>
      <c r="I5" s="89"/>
      <c r="J5" s="89"/>
    </row>
    <row r="6" customFormat="false" ht="15" hidden="false" customHeight="true" outlineLevel="0" collapsed="false">
      <c r="A6" s="85" t="s">
        <v>180</v>
      </c>
      <c r="B6" s="86" t="s">
        <v>181</v>
      </c>
      <c r="C6" s="87"/>
      <c r="D6" s="87"/>
      <c r="E6" s="87"/>
      <c r="F6" s="88" t="s">
        <v>182</v>
      </c>
      <c r="G6" s="88"/>
      <c r="H6" s="90" t="n">
        <v>46314</v>
      </c>
      <c r="I6" s="90"/>
      <c r="J6" s="90"/>
    </row>
    <row r="7" customFormat="false" ht="15" hidden="false" customHeight="true" outlineLevel="0" collapsed="false">
      <c r="A7" s="85" t="s">
        <v>183</v>
      </c>
      <c r="B7" s="86" t="s">
        <v>37</v>
      </c>
      <c r="C7" s="87"/>
      <c r="D7" s="87"/>
      <c r="E7" s="87"/>
      <c r="F7" s="88" t="s">
        <v>184</v>
      </c>
      <c r="G7" s="88"/>
      <c r="H7" s="91" t="n">
        <v>30</v>
      </c>
      <c r="I7" s="91"/>
      <c r="J7" s="91"/>
    </row>
    <row r="8" customFormat="false" ht="15" hidden="false" customHeight="true" outlineLevel="0" collapsed="false">
      <c r="A8" s="85" t="s">
        <v>185</v>
      </c>
      <c r="B8" s="86" t="s">
        <v>33</v>
      </c>
      <c r="C8" s="87"/>
      <c r="D8" s="87"/>
      <c r="E8" s="87"/>
      <c r="F8" s="88" t="s">
        <v>186</v>
      </c>
      <c r="G8" s="88"/>
      <c r="H8" s="92" t="n">
        <f aca="false">H6+H7</f>
        <v>46344</v>
      </c>
      <c r="I8" s="92"/>
      <c r="J8" s="92"/>
    </row>
    <row r="9" customFormat="false" ht="15" hidden="false" customHeight="true" outlineLevel="0" collapsed="false">
      <c r="A9" s="85" t="s">
        <v>187</v>
      </c>
      <c r="B9" s="93" t="n">
        <v>1</v>
      </c>
      <c r="C9" s="87" t="s">
        <v>188</v>
      </c>
      <c r="D9" s="87"/>
      <c r="E9" s="87"/>
      <c r="F9" s="88" t="s">
        <v>189</v>
      </c>
      <c r="G9" s="88"/>
      <c r="H9" s="89" t="s">
        <v>190</v>
      </c>
      <c r="I9" s="89"/>
      <c r="J9" s="89"/>
    </row>
    <row r="10" customFormat="false" ht="15" hidden="false" customHeight="true" outlineLevel="0" collapsed="false">
      <c r="A10" s="85" t="s">
        <v>191</v>
      </c>
      <c r="B10" s="86" t="s">
        <v>33</v>
      </c>
      <c r="C10" s="87"/>
      <c r="D10" s="87"/>
      <c r="E10" s="87"/>
      <c r="F10" s="88" t="s">
        <v>192</v>
      </c>
      <c r="G10" s="88"/>
      <c r="H10" s="89" t="s">
        <v>193</v>
      </c>
      <c r="I10" s="89"/>
      <c r="J10" s="89"/>
    </row>
    <row r="11" customFormat="false" ht="15" hidden="false" customHeight="true" outlineLevel="0" collapsed="false">
      <c r="A11" s="85" t="s">
        <v>194</v>
      </c>
      <c r="B11" s="94" t="n">
        <v>0</v>
      </c>
      <c r="C11" s="87" t="s">
        <v>195</v>
      </c>
      <c r="D11" s="87"/>
      <c r="E11" s="87"/>
      <c r="F11" s="88" t="s">
        <v>51</v>
      </c>
      <c r="G11" s="88"/>
      <c r="H11" s="89" t="s">
        <v>196</v>
      </c>
      <c r="I11" s="89"/>
      <c r="J11" s="89"/>
    </row>
    <row r="12" customFormat="false" ht="15" hidden="false" customHeight="true" outlineLevel="0" collapsed="false">
      <c r="A12" s="85" t="s">
        <v>197</v>
      </c>
      <c r="B12" s="86" t="s">
        <v>37</v>
      </c>
      <c r="C12" s="87"/>
      <c r="D12" s="87"/>
      <c r="E12" s="87"/>
      <c r="F12" s="88" t="s">
        <v>198</v>
      </c>
      <c r="G12" s="88"/>
      <c r="H12" s="89"/>
      <c r="I12" s="89"/>
      <c r="J12" s="89"/>
    </row>
    <row r="13" customFormat="false" ht="15" hidden="false" customHeight="true" outlineLevel="0" collapsed="false">
      <c r="A13" s="85" t="s">
        <v>199</v>
      </c>
      <c r="B13" s="93" t="n">
        <v>0</v>
      </c>
      <c r="C13" s="87"/>
      <c r="D13" s="87"/>
      <c r="E13" s="87"/>
      <c r="F13" s="88" t="s">
        <v>200</v>
      </c>
      <c r="G13" s="88"/>
      <c r="H13" s="89" t="s">
        <v>201</v>
      </c>
      <c r="I13" s="89"/>
      <c r="J13" s="89"/>
    </row>
    <row r="14" customFormat="false" ht="15" hidden="false" customHeight="true" outlineLevel="0" collapsed="false">
      <c r="A14" s="85" t="s">
        <v>202</v>
      </c>
      <c r="B14" s="93" t="n">
        <v>60</v>
      </c>
      <c r="C14" s="87" t="s">
        <v>203</v>
      </c>
      <c r="D14" s="87"/>
      <c r="E14" s="87"/>
      <c r="F14" s="88" t="s">
        <v>204</v>
      </c>
      <c r="G14" s="88"/>
      <c r="H14" s="89" t="s">
        <v>205</v>
      </c>
      <c r="I14" s="89"/>
      <c r="J14" s="89"/>
    </row>
    <row r="16" customFormat="false" ht="21.75" hidden="false" customHeight="true" outlineLevel="0" collapsed="false">
      <c r="A16" s="64" t="s">
        <v>206</v>
      </c>
      <c r="B16" s="64"/>
      <c r="C16" s="64"/>
      <c r="D16" s="64"/>
      <c r="E16" s="64"/>
      <c r="F16" s="64"/>
      <c r="G16" s="64"/>
      <c r="H16" s="64"/>
      <c r="I16" s="64"/>
      <c r="J16" s="64"/>
    </row>
    <row r="17" customFormat="false" ht="39.75" hidden="false" customHeight="true" outlineLevel="0" collapsed="false">
      <c r="A17" s="65" t="s">
        <v>67</v>
      </c>
      <c r="B17" s="65" t="s">
        <v>70</v>
      </c>
      <c r="C17" s="65" t="s">
        <v>207</v>
      </c>
      <c r="D17" s="65" t="s">
        <v>208</v>
      </c>
      <c r="E17" s="65" t="s">
        <v>209</v>
      </c>
      <c r="F17" s="65" t="s">
        <v>210</v>
      </c>
      <c r="G17" s="65" t="s">
        <v>211</v>
      </c>
      <c r="H17" s="65" t="s">
        <v>212</v>
      </c>
      <c r="I17" s="65" t="s">
        <v>213</v>
      </c>
      <c r="J17" s="65" t="s">
        <v>214</v>
      </c>
    </row>
    <row r="18" customFormat="false" ht="15" hidden="false" customHeight="false" outlineLevel="0" collapsed="false">
      <c r="A18" s="95" t="s">
        <v>215</v>
      </c>
      <c r="B18" s="93" t="n">
        <v>12</v>
      </c>
      <c r="C18" s="96" t="str">
        <f aca="false">IF(B18&lt;=0,"—",INDEX('College Inputs'!$A$6:$A$9,MATCH(B18,'College Inputs'!$C$6:$C$9,1)))</f>
        <v>Standard 12</v>
      </c>
      <c r="D18" s="97" t="n">
        <f aca="false">IF(B18&lt;=0,0,INDEX('College Inputs'!$H$6:$H$9,MATCH(B18,'College Inputs'!$C$6:$C$9,1)))</f>
        <v>60000</v>
      </c>
      <c r="E18" s="98" t="n">
        <f aca="false">IF(B18&lt;=0,0,MAX(0,B18-'College Inputs'!$D$9))</f>
        <v>0</v>
      </c>
      <c r="F18" s="97" t="n">
        <f aca="false">E18*'College Inputs'!$B$16</f>
        <v>0</v>
      </c>
      <c r="G18" s="98" t="n">
        <f aca="false">IF(B18&lt;=0,0,INDEX('College Inputs'!$E$6:$E$9,MATCH(B18,'College Inputs'!$C$6:$C$9,1)))</f>
        <v>4</v>
      </c>
      <c r="H18" s="98" t="n">
        <f aca="false">IF(B18&lt;=0,0,INDEX('College Inputs'!$F$6:$F$9,MATCH(B18,'College Inputs'!$C$6:$C$9,1)))</f>
        <v>2</v>
      </c>
      <c r="I18" s="98" t="n">
        <f aca="false">IF(B18&lt;=0,0,INDEX('College Inputs'!$G$6:$G$9,MATCH(B18,'College Inputs'!$C$6:$C$9,1)))</f>
        <v>1</v>
      </c>
      <c r="J18" s="97" t="n">
        <f aca="false">IF(B18&lt;=0,0,INDEX('College Inputs'!$J$6:$J$9,MATCH(B18,'College Inputs'!$C$6:$C$9,1))+E18*'College Inputs'!$C$16)</f>
        <v>15000</v>
      </c>
    </row>
    <row r="19" customFormat="false" ht="15" hidden="false" customHeight="false" outlineLevel="0" collapsed="false">
      <c r="A19" s="95" t="s">
        <v>216</v>
      </c>
      <c r="B19" s="93" t="n">
        <v>9</v>
      </c>
      <c r="C19" s="96" t="str">
        <f aca="false">IF(B19&lt;=0,"—",INDEX('College Inputs'!$A$6:$A$9,MATCH(B19,'College Inputs'!$C$6:$C$9,1)))</f>
        <v>Essential 9</v>
      </c>
      <c r="D19" s="97" t="n">
        <f aca="false">IF(B19&lt;=0,0,INDEX('College Inputs'!$H$6:$H$9,MATCH(B19,'College Inputs'!$C$6:$C$9,1)))</f>
        <v>50000</v>
      </c>
      <c r="E19" s="98" t="n">
        <f aca="false">IF(B19&lt;=0,0,MAX(0,B19-'College Inputs'!$D$9))</f>
        <v>0</v>
      </c>
      <c r="F19" s="97" t="n">
        <f aca="false">E19*'College Inputs'!$B$16</f>
        <v>0</v>
      </c>
      <c r="G19" s="98" t="n">
        <f aca="false">IF(B19&lt;=0,0,INDEX('College Inputs'!$E$6:$E$9,MATCH(B19,'College Inputs'!$C$6:$C$9,1)))</f>
        <v>3</v>
      </c>
      <c r="H19" s="98" t="n">
        <f aca="false">IF(B19&lt;=0,0,INDEX('College Inputs'!$F$6:$F$9,MATCH(B19,'College Inputs'!$C$6:$C$9,1)))</f>
        <v>1</v>
      </c>
      <c r="I19" s="98" t="n">
        <f aca="false">IF(B19&lt;=0,0,INDEX('College Inputs'!$G$6:$G$9,MATCH(B19,'College Inputs'!$C$6:$C$9,1)))</f>
        <v>1</v>
      </c>
      <c r="J19" s="97" t="n">
        <f aca="false">IF(B19&lt;=0,0,INDEX('College Inputs'!$J$6:$J$9,MATCH(B19,'College Inputs'!$C$6:$C$9,1))+E19*'College Inputs'!$C$16)</f>
        <v>12000</v>
      </c>
    </row>
    <row r="20" customFormat="false" ht="15" hidden="false" customHeight="false" outlineLevel="0" collapsed="false">
      <c r="A20" s="95" t="s">
        <v>217</v>
      </c>
      <c r="B20" s="93" t="n">
        <v>9</v>
      </c>
      <c r="C20" s="96" t="str">
        <f aca="false">IF(B20&lt;=0,"—",INDEX('College Inputs'!$A$6:$A$9,MATCH(B20,'College Inputs'!$C$6:$C$9,1)))</f>
        <v>Essential 9</v>
      </c>
      <c r="D20" s="97" t="n">
        <f aca="false">IF(B20&lt;=0,0,INDEX('College Inputs'!$H$6:$H$9,MATCH(B20,'College Inputs'!$C$6:$C$9,1)))</f>
        <v>50000</v>
      </c>
      <c r="E20" s="98" t="n">
        <f aca="false">IF(B20&lt;=0,0,MAX(0,B20-'College Inputs'!$D$9))</f>
        <v>0</v>
      </c>
      <c r="F20" s="97" t="n">
        <f aca="false">E20*'College Inputs'!$B$16</f>
        <v>0</v>
      </c>
      <c r="G20" s="98" t="n">
        <f aca="false">IF(B20&lt;=0,0,INDEX('College Inputs'!$E$6:$E$9,MATCH(B20,'College Inputs'!$C$6:$C$9,1)))</f>
        <v>3</v>
      </c>
      <c r="H20" s="98" t="n">
        <f aca="false">IF(B20&lt;=0,0,INDEX('College Inputs'!$F$6:$F$9,MATCH(B20,'College Inputs'!$C$6:$C$9,1)))</f>
        <v>1</v>
      </c>
      <c r="I20" s="98" t="n">
        <f aca="false">IF(B20&lt;=0,0,INDEX('College Inputs'!$G$6:$G$9,MATCH(B20,'College Inputs'!$C$6:$C$9,1)))</f>
        <v>1</v>
      </c>
      <c r="J20" s="97" t="n">
        <f aca="false">IF(B20&lt;=0,0,INDEX('College Inputs'!$J$6:$J$9,MATCH(B20,'College Inputs'!$C$6:$C$9,1))+E20*'College Inputs'!$C$16)</f>
        <v>12000</v>
      </c>
    </row>
    <row r="21" customFormat="false" ht="15" hidden="false" customHeight="false" outlineLevel="0" collapsed="false">
      <c r="A21" s="95" t="s">
        <v>140</v>
      </c>
      <c r="B21" s="93" t="n">
        <v>0</v>
      </c>
      <c r="C21" s="96" t="str">
        <f aca="false">IF(B21&lt;=0,"—",INDEX('College Inputs'!$A$6:$A$9,MATCH(B21,'College Inputs'!$C$6:$C$9,1)))</f>
        <v>—</v>
      </c>
      <c r="D21" s="97" t="n">
        <f aca="false">IF(B21&lt;=0,0,INDEX('College Inputs'!$H$6:$H$9,MATCH(B21,'College Inputs'!$C$6:$C$9,1)))</f>
        <v>0</v>
      </c>
      <c r="E21" s="98" t="n">
        <f aca="false">IF(B21&lt;=0,0,MAX(0,B21-'College Inputs'!$D$9))</f>
        <v>0</v>
      </c>
      <c r="F21" s="97" t="n">
        <f aca="false">E21*'College Inputs'!$B$16</f>
        <v>0</v>
      </c>
      <c r="G21" s="98" t="n">
        <f aca="false">IF(B21&lt;=0,0,INDEX('College Inputs'!$E$6:$E$9,MATCH(B21,'College Inputs'!$C$6:$C$9,1)))</f>
        <v>0</v>
      </c>
      <c r="H21" s="98" t="n">
        <f aca="false">IF(B21&lt;=0,0,INDEX('College Inputs'!$F$6:$F$9,MATCH(B21,'College Inputs'!$C$6:$C$9,1)))</f>
        <v>0</v>
      </c>
      <c r="I21" s="98" t="n">
        <f aca="false">IF(B21&lt;=0,0,INDEX('College Inputs'!$G$6:$G$9,MATCH(B21,'College Inputs'!$C$6:$C$9,1)))</f>
        <v>0</v>
      </c>
      <c r="J21" s="97" t="n">
        <f aca="false">IF(B21&lt;=0,0,INDEX('College Inputs'!$J$6:$J$9,MATCH(B21,'College Inputs'!$C$6:$C$9,1))+E21*'College Inputs'!$C$16)</f>
        <v>0</v>
      </c>
    </row>
    <row r="22" customFormat="false" ht="15" hidden="false" customHeight="false" outlineLevel="0" collapsed="false">
      <c r="A22" s="99" t="s">
        <v>218</v>
      </c>
      <c r="B22" s="100" t="n">
        <f aca="false">SUM(B18:B21)</f>
        <v>30</v>
      </c>
      <c r="C22" s="101" t="str">
        <f aca="false">COUNTIF(B18:B21,"&gt;0")&amp;" licence(s)"</f>
        <v>3 licence(s)</v>
      </c>
      <c r="D22" s="102" t="n">
        <f aca="false">SUM(D18:D21)</f>
        <v>160000</v>
      </c>
      <c r="E22" s="103" t="n">
        <f aca="false">SUM(E18:E21)</f>
        <v>0</v>
      </c>
      <c r="F22" s="102" t="n">
        <f aca="false">SUM(F18:F21)</f>
        <v>0</v>
      </c>
      <c r="G22" s="103" t="n">
        <f aca="false">SUM(G18:G21)</f>
        <v>10</v>
      </c>
      <c r="H22" s="103" t="n">
        <f aca="false">SUM(H18:H21)</f>
        <v>4</v>
      </c>
      <c r="I22" s="103" t="n">
        <f aca="false">SUM(I18:I21)</f>
        <v>3</v>
      </c>
      <c r="J22" s="102" t="n">
        <f aca="false">SUM(J18:J21)</f>
        <v>39000</v>
      </c>
    </row>
    <row r="24" customFormat="false" ht="21.75" hidden="false" customHeight="true" outlineLevel="0" collapsed="false">
      <c r="A24" s="64" t="s">
        <v>219</v>
      </c>
      <c r="B24" s="64"/>
      <c r="C24" s="64"/>
      <c r="D24" s="64"/>
      <c r="E24" s="64"/>
      <c r="F24" s="64"/>
      <c r="G24" s="64"/>
      <c r="H24" s="64"/>
      <c r="I24" s="64"/>
      <c r="J24" s="64"/>
    </row>
    <row r="25" customFormat="false" ht="30" hidden="false" customHeight="true" outlineLevel="0" collapsed="false">
      <c r="A25" s="65" t="s">
        <v>148</v>
      </c>
      <c r="B25" s="65" t="s">
        <v>220</v>
      </c>
      <c r="C25" s="65" t="s">
        <v>221</v>
      </c>
      <c r="D25" s="65" t="s">
        <v>222</v>
      </c>
      <c r="E25" s="65" t="s">
        <v>223</v>
      </c>
      <c r="F25" s="65" t="s">
        <v>224</v>
      </c>
      <c r="G25" s="65" t="s">
        <v>225</v>
      </c>
    </row>
    <row r="26" customFormat="false" ht="15" hidden="false" customHeight="false" outlineLevel="0" collapsed="false">
      <c r="A26" s="85" t="s">
        <v>226</v>
      </c>
      <c r="B26" s="98" t="n">
        <f aca="false">G22</f>
        <v>10</v>
      </c>
      <c r="C26" s="93" t="n">
        <v>12</v>
      </c>
      <c r="D26" s="98" t="n">
        <f aca="false">MAX(0,C26-B26)</f>
        <v>2</v>
      </c>
      <c r="E26" s="104" t="n">
        <f aca="false">'College Inputs'!$B$13</f>
        <v>3000</v>
      </c>
      <c r="F26" s="97" t="n">
        <f aca="false">D26*E26</f>
        <v>6000</v>
      </c>
      <c r="G26" s="97" t="n">
        <f aca="false">D26*'College Inputs'!$C$13</f>
        <v>600</v>
      </c>
    </row>
    <row r="27" customFormat="false" ht="15" hidden="false" customHeight="false" outlineLevel="0" collapsed="false">
      <c r="A27" s="85" t="s">
        <v>227</v>
      </c>
      <c r="B27" s="98" t="n">
        <f aca="false">H22</f>
        <v>4</v>
      </c>
      <c r="C27" s="93" t="n">
        <v>4</v>
      </c>
      <c r="D27" s="98" t="n">
        <f aca="false">MAX(0,C27-B27)</f>
        <v>0</v>
      </c>
      <c r="E27" s="104" t="n">
        <f aca="false">'College Inputs'!$B$14</f>
        <v>4000</v>
      </c>
      <c r="F27" s="97" t="n">
        <f aca="false">D27*E27</f>
        <v>0</v>
      </c>
      <c r="G27" s="97" t="n">
        <f aca="false">D27*'College Inputs'!$C$14</f>
        <v>0</v>
      </c>
    </row>
    <row r="28" customFormat="false" ht="15" hidden="false" customHeight="false" outlineLevel="0" collapsed="false">
      <c r="A28" s="85" t="s">
        <v>228</v>
      </c>
      <c r="B28" s="98" t="n">
        <f aca="false">I22</f>
        <v>3</v>
      </c>
      <c r="C28" s="93" t="n">
        <v>2</v>
      </c>
      <c r="D28" s="98" t="n">
        <f aca="false">MAX(0,C28-B28)</f>
        <v>0</v>
      </c>
      <c r="E28" s="104" t="n">
        <f aca="false">'College Inputs'!$B$15</f>
        <v>5000</v>
      </c>
      <c r="F28" s="97" t="n">
        <f aca="false">D28*E28</f>
        <v>0</v>
      </c>
      <c r="G28" s="97" t="n">
        <f aca="false">D28*'College Inputs'!$C$15</f>
        <v>0</v>
      </c>
    </row>
    <row r="29" customFormat="false" ht="15" hidden="false" customHeight="true" outlineLevel="0" collapsed="false">
      <c r="A29" s="85" t="s">
        <v>229</v>
      </c>
      <c r="B29" s="87" t="s">
        <v>110</v>
      </c>
      <c r="C29" s="87"/>
      <c r="D29" s="87"/>
      <c r="E29" s="87"/>
      <c r="F29" s="87"/>
      <c r="G29" s="87"/>
    </row>
    <row r="31" customFormat="false" ht="21.75" hidden="false" customHeight="true" outlineLevel="0" collapsed="false">
      <c r="A31" s="64" t="s">
        <v>230</v>
      </c>
      <c r="B31" s="64"/>
      <c r="C31" s="64"/>
      <c r="D31" s="64"/>
      <c r="E31" s="64"/>
      <c r="F31" s="64"/>
      <c r="G31" s="64"/>
      <c r="H31" s="64"/>
      <c r="I31" s="64"/>
      <c r="J31" s="64"/>
    </row>
    <row r="32" customFormat="false" ht="15" hidden="false" customHeight="false" outlineLevel="0" collapsed="false">
      <c r="A32" s="105" t="s">
        <v>231</v>
      </c>
      <c r="B32" s="68" t="n">
        <f aca="false">D22+F22</f>
        <v>160000</v>
      </c>
      <c r="C32" s="87"/>
      <c r="D32" s="87"/>
      <c r="E32" s="87"/>
      <c r="F32" s="87"/>
      <c r="G32" s="87"/>
      <c r="H32" s="87"/>
      <c r="I32" s="87"/>
      <c r="J32" s="87"/>
    </row>
    <row r="33" customFormat="false" ht="15" hidden="false" customHeight="true" outlineLevel="0" collapsed="false">
      <c r="A33" s="105" t="s">
        <v>232</v>
      </c>
      <c r="B33" s="69" t="n">
        <f aca="false">IF(B7="Yes",MAX('College Inputs'!$B$41,IF(COUNTIF(B18:B21,"&gt;0")&gt;=3,'College Inputs'!$B$40,IF(COUNTIF(B18:B21,"&gt;0")=2,'College Inputs'!$B$39,0))),IF(COUNTIF(B18:B21,"&gt;0")&gt;=3,'College Inputs'!$B$40,IF(COUNTIF(B18:B21,"&gt;0")=2,'College Inputs'!$B$39,0)))</f>
        <v>0.15</v>
      </c>
      <c r="C33" s="87" t="s">
        <v>233</v>
      </c>
      <c r="D33" s="87"/>
      <c r="E33" s="87"/>
      <c r="F33" s="87"/>
      <c r="G33" s="87"/>
      <c r="H33" s="87"/>
      <c r="I33" s="87"/>
      <c r="J33" s="87"/>
    </row>
    <row r="34" customFormat="false" ht="15" hidden="false" customHeight="false" outlineLevel="0" collapsed="false">
      <c r="A34" s="85" t="s">
        <v>234</v>
      </c>
      <c r="B34" s="70" t="n">
        <f aca="false">B32*(1-B33)</f>
        <v>136000</v>
      </c>
      <c r="C34" s="87"/>
      <c r="D34" s="87"/>
      <c r="E34" s="87"/>
      <c r="F34" s="87"/>
      <c r="G34" s="87"/>
      <c r="H34" s="87"/>
      <c r="I34" s="87"/>
      <c r="J34" s="87"/>
    </row>
    <row r="35" customFormat="false" ht="15" hidden="false" customHeight="false" outlineLevel="0" collapsed="false">
      <c r="A35" s="105" t="s">
        <v>222</v>
      </c>
      <c r="B35" s="68" t="n">
        <f aca="false">SUM(F26:F28)</f>
        <v>6000</v>
      </c>
      <c r="C35" s="87"/>
      <c r="D35" s="87"/>
      <c r="E35" s="87"/>
      <c r="F35" s="87"/>
      <c r="G35" s="87"/>
      <c r="H35" s="87"/>
      <c r="I35" s="87"/>
      <c r="J35" s="87"/>
    </row>
    <row r="36" customFormat="false" ht="15" hidden="false" customHeight="false" outlineLevel="0" collapsed="false">
      <c r="A36" s="105" t="s">
        <v>161</v>
      </c>
      <c r="B36" s="78" t="str">
        <f aca="false">IF(B14&lt;=0,"None",IF(B14&gt;100,"Interns 100 + "&amp;(B14-100)&amp;" extra",INDEX('College Inputs'!$A$22:$A$26,MATCH(B14,'College Inputs'!$B$22:$B$26,1))))</f>
        <v>Interns 60</v>
      </c>
      <c r="C36" s="87"/>
      <c r="D36" s="87"/>
      <c r="E36" s="87"/>
      <c r="F36" s="87"/>
      <c r="G36" s="87"/>
      <c r="H36" s="87"/>
      <c r="I36" s="87"/>
      <c r="J36" s="87"/>
    </row>
    <row r="37" customFormat="false" ht="15" hidden="false" customHeight="false" outlineLevel="0" collapsed="false">
      <c r="A37" s="105" t="s">
        <v>235</v>
      </c>
      <c r="B37" s="68" t="n">
        <f aca="false">IF(B14&lt;=0,0,IF(B14&gt;100,'College Inputs'!$D$26+(B14-100)*'College Inputs'!$B$27,INDEX('College Inputs'!$D$22:$D$26,MATCH(B14,'College Inputs'!$B$22:$B$26,1))))</f>
        <v>40000</v>
      </c>
      <c r="C37" s="87"/>
      <c r="D37" s="87"/>
      <c r="E37" s="87"/>
      <c r="F37" s="87"/>
      <c r="G37" s="87"/>
      <c r="H37" s="87"/>
      <c r="I37" s="87"/>
      <c r="J37" s="87"/>
    </row>
    <row r="38" customFormat="false" ht="15" hidden="false" customHeight="false" outlineLevel="0" collapsed="false">
      <c r="A38" s="105" t="s">
        <v>236</v>
      </c>
      <c r="B38" s="68" t="n">
        <f aca="false">B13*'College Inputs'!$B$17</f>
        <v>0</v>
      </c>
      <c r="C38" s="87"/>
      <c r="D38" s="87"/>
      <c r="E38" s="87"/>
      <c r="F38" s="87"/>
      <c r="G38" s="87"/>
      <c r="H38" s="87"/>
      <c r="I38" s="87"/>
      <c r="J38" s="87"/>
    </row>
    <row r="39" customFormat="false" ht="15" hidden="false" customHeight="false" outlineLevel="0" collapsed="false">
      <c r="A39" s="105" t="s">
        <v>119</v>
      </c>
      <c r="B39" s="68" t="n">
        <f aca="false">IF(B12="Yes",'College Inputs'!$B$32,0)</f>
        <v>0</v>
      </c>
      <c r="C39" s="87"/>
      <c r="D39" s="87"/>
      <c r="E39" s="87"/>
      <c r="F39" s="87"/>
      <c r="G39" s="87"/>
      <c r="H39" s="87"/>
      <c r="I39" s="87"/>
      <c r="J39" s="87"/>
    </row>
    <row r="40" customFormat="false" ht="15" hidden="false" customHeight="false" outlineLevel="0" collapsed="false">
      <c r="A40" s="105" t="s">
        <v>237</v>
      </c>
      <c r="B40" s="68" t="n">
        <f aca="false">B34+B35+B37+B38+B39</f>
        <v>182000</v>
      </c>
      <c r="C40" s="87"/>
      <c r="D40" s="87"/>
      <c r="E40" s="87"/>
      <c r="F40" s="87"/>
      <c r="G40" s="87"/>
      <c r="H40" s="87"/>
      <c r="I40" s="87"/>
      <c r="J40" s="87"/>
    </row>
    <row r="41" customFormat="false" ht="15" hidden="false" customHeight="true" outlineLevel="0" collapsed="false">
      <c r="A41" s="105" t="s">
        <v>238</v>
      </c>
      <c r="B41" s="69" t="n">
        <f aca="false">MIN('College Inputs'!$B$46,IF(B8="Yes",'College Inputs'!$B$42,0)+IF(B6="Government",'College Inputs'!$B$44,0)+IF(B9=3,'College Inputs'!$B$45,0)+B11)</f>
        <v>0.25</v>
      </c>
      <c r="C41" s="87" t="s">
        <v>239</v>
      </c>
      <c r="D41" s="87"/>
      <c r="E41" s="87"/>
      <c r="F41" s="87"/>
      <c r="G41" s="87"/>
      <c r="H41" s="87"/>
      <c r="I41" s="87"/>
      <c r="J41" s="87"/>
    </row>
    <row r="42" customFormat="false" ht="15" hidden="false" customHeight="false" outlineLevel="0" collapsed="false">
      <c r="A42" s="105" t="s">
        <v>240</v>
      </c>
      <c r="B42" s="68" t="n">
        <f aca="false">B40*B41</f>
        <v>45500</v>
      </c>
      <c r="C42" s="87"/>
      <c r="D42" s="87"/>
      <c r="E42" s="87"/>
      <c r="F42" s="87"/>
      <c r="G42" s="87"/>
      <c r="H42" s="87"/>
      <c r="I42" s="87"/>
      <c r="J42" s="87"/>
    </row>
    <row r="43" customFormat="false" ht="15" hidden="false" customHeight="true" outlineLevel="0" collapsed="false">
      <c r="A43" s="99" t="s">
        <v>241</v>
      </c>
      <c r="B43" s="106" t="n">
        <f aca="false">B40-B42</f>
        <v>136500</v>
      </c>
      <c r="C43" s="87" t="s">
        <v>242</v>
      </c>
      <c r="D43" s="87"/>
      <c r="E43" s="87"/>
      <c r="F43" s="87"/>
      <c r="G43" s="87"/>
      <c r="H43" s="87"/>
      <c r="I43" s="87"/>
      <c r="J43" s="87"/>
    </row>
    <row r="44" customFormat="false" ht="15" hidden="false" customHeight="true" outlineLevel="0" collapsed="false">
      <c r="A44" s="105" t="s">
        <v>243</v>
      </c>
      <c r="B44" s="68" t="n">
        <f aca="false">IF(AND(B10="Yes",B9=1),'College Inputs'!$B$33,0)</f>
        <v>25000</v>
      </c>
      <c r="C44" s="87" t="s">
        <v>244</v>
      </c>
      <c r="D44" s="87"/>
      <c r="E44" s="87"/>
      <c r="F44" s="87"/>
      <c r="G44" s="87"/>
      <c r="H44" s="87"/>
      <c r="I44" s="87"/>
      <c r="J44" s="87"/>
    </row>
    <row r="45" customFormat="false" ht="15" hidden="false" customHeight="true" outlineLevel="0" collapsed="false">
      <c r="A45" s="85" t="s">
        <v>245</v>
      </c>
      <c r="B45" s="70" t="n">
        <f aca="false">IF(B9=3,B43*3,B43)+B44</f>
        <v>161500</v>
      </c>
      <c r="C45" s="87" t="s">
        <v>246</v>
      </c>
      <c r="D45" s="87"/>
      <c r="E45" s="87"/>
      <c r="F45" s="87"/>
      <c r="G45" s="87"/>
      <c r="H45" s="87"/>
      <c r="I45" s="87"/>
      <c r="J45" s="87"/>
    </row>
    <row r="46" customFormat="false" ht="15" hidden="false" customHeight="false" outlineLevel="0" collapsed="false">
      <c r="A46" s="105" t="s">
        <v>247</v>
      </c>
      <c r="B46" s="68" t="n">
        <f aca="false">B45*'College Inputs'!$B$48</f>
        <v>29070</v>
      </c>
      <c r="C46" s="87"/>
      <c r="D46" s="87"/>
      <c r="E46" s="87"/>
      <c r="F46" s="87"/>
      <c r="G46" s="87"/>
      <c r="H46" s="87"/>
      <c r="I46" s="87"/>
      <c r="J46" s="87"/>
    </row>
    <row r="47" customFormat="false" ht="15" hidden="false" customHeight="false" outlineLevel="0" collapsed="false">
      <c r="A47" s="99" t="s">
        <v>248</v>
      </c>
      <c r="B47" s="106" t="n">
        <f aca="false">B45+B46</f>
        <v>190570</v>
      </c>
      <c r="C47" s="87"/>
      <c r="D47" s="87"/>
      <c r="E47" s="87"/>
      <c r="F47" s="87"/>
      <c r="G47" s="87"/>
      <c r="H47" s="87"/>
      <c r="I47" s="87"/>
      <c r="J47" s="87"/>
    </row>
    <row r="48" customFormat="false" ht="15" hidden="false" customHeight="true" outlineLevel="0" collapsed="false">
      <c r="A48" s="105" t="s">
        <v>249</v>
      </c>
      <c r="B48" s="68" t="n">
        <f aca="false">IF(B9=3,"Prepaid — none due",IF(B8="Yes",B43,B43*(1+'College Inputs'!$B$47)))</f>
        <v>136500</v>
      </c>
      <c r="C48" s="87" t="s">
        <v>250</v>
      </c>
      <c r="D48" s="87"/>
      <c r="E48" s="87"/>
      <c r="F48" s="87"/>
      <c r="G48" s="87"/>
      <c r="H48" s="87"/>
      <c r="I48" s="87"/>
      <c r="J48" s="87"/>
    </row>
    <row r="49" customFormat="false" ht="15" hidden="false" customHeight="true" outlineLevel="0" collapsed="false">
      <c r="A49" s="105" t="s">
        <v>251</v>
      </c>
      <c r="B49" s="68" t="n">
        <f aca="false">IF(B22=0,0,B34*(1-B41)/B22)</f>
        <v>3400</v>
      </c>
      <c r="C49" s="87" t="s">
        <v>252</v>
      </c>
      <c r="D49" s="87"/>
      <c r="E49" s="87"/>
      <c r="F49" s="87"/>
      <c r="G49" s="87"/>
      <c r="H49" s="87"/>
      <c r="I49" s="87"/>
      <c r="J49" s="87"/>
    </row>
    <row r="51" customFormat="false" ht="21.75" hidden="false" customHeight="true" outlineLevel="0" collapsed="false">
      <c r="A51" s="64" t="s">
        <v>253</v>
      </c>
      <c r="B51" s="64"/>
      <c r="C51" s="64"/>
      <c r="D51" s="64"/>
      <c r="E51" s="64"/>
      <c r="F51" s="64"/>
      <c r="G51" s="64"/>
      <c r="H51" s="64"/>
      <c r="I51" s="64"/>
      <c r="J51" s="64"/>
    </row>
    <row r="52" customFormat="false" ht="15" hidden="false" customHeight="true" outlineLevel="0" collapsed="false">
      <c r="A52" s="105" t="s">
        <v>254</v>
      </c>
      <c r="B52" s="68" t="n">
        <f aca="false">J22+SUM(G26:G28)+B14*'College Inputs'!$B$28+B13*'College Inputs'!$C$17+IF(B12="Yes",'College Inputs'!$C$32,0)+'College Inputs'!$C$34</f>
        <v>51800</v>
      </c>
      <c r="C52" s="87" t="s">
        <v>255</v>
      </c>
      <c r="D52" s="87"/>
      <c r="E52" s="87"/>
      <c r="F52" s="87"/>
      <c r="G52" s="87"/>
      <c r="H52" s="87"/>
      <c r="I52" s="87"/>
      <c r="J52" s="87"/>
    </row>
    <row r="53" customFormat="false" ht="15" hidden="false" customHeight="false" outlineLevel="0" collapsed="false">
      <c r="A53" s="105" t="s">
        <v>256</v>
      </c>
      <c r="B53" s="68" t="n">
        <f aca="false">IF(B10="Yes",'College Inputs'!$C$33,0)</f>
        <v>15000</v>
      </c>
      <c r="C53" s="87"/>
      <c r="D53" s="87"/>
      <c r="E53" s="87"/>
      <c r="F53" s="87"/>
      <c r="G53" s="87"/>
      <c r="H53" s="87"/>
      <c r="I53" s="87"/>
      <c r="J53" s="87"/>
    </row>
    <row r="54" customFormat="false" ht="15" hidden="false" customHeight="false" outlineLevel="0" collapsed="false">
      <c r="A54" s="105" t="s">
        <v>257</v>
      </c>
      <c r="B54" s="68" t="n">
        <f aca="false">B43+B44-B52-B53</f>
        <v>94700</v>
      </c>
      <c r="C54" s="87"/>
      <c r="D54" s="87"/>
      <c r="E54" s="87"/>
      <c r="F54" s="87"/>
      <c r="G54" s="87"/>
      <c r="H54" s="87"/>
      <c r="I54" s="87"/>
      <c r="J54" s="87"/>
    </row>
    <row r="55" customFormat="false" ht="15" hidden="false" customHeight="false" outlineLevel="0" collapsed="false">
      <c r="A55" s="105" t="s">
        <v>258</v>
      </c>
      <c r="B55" s="69" t="n">
        <f aca="false">IF((B43+B44)=0,0,B54/(B43+B44))</f>
        <v>0.586377708978328</v>
      </c>
      <c r="C55" s="87"/>
      <c r="D55" s="87"/>
      <c r="E55" s="87"/>
      <c r="F55" s="87"/>
      <c r="G55" s="87"/>
      <c r="H55" s="87"/>
      <c r="I55" s="87"/>
      <c r="J55" s="87"/>
    </row>
    <row r="56" customFormat="false" ht="15" hidden="false" customHeight="false" outlineLevel="0" collapsed="false">
      <c r="A56" s="105" t="s">
        <v>259</v>
      </c>
      <c r="B56" s="69" t="n">
        <f aca="false">IF(B43=0,0,(B43-B52)/B43)</f>
        <v>0.620512820512821</v>
      </c>
      <c r="C56" s="87"/>
      <c r="D56" s="87"/>
      <c r="E56" s="87"/>
      <c r="F56" s="87"/>
      <c r="G56" s="87"/>
      <c r="H56" s="87"/>
      <c r="I56" s="87"/>
      <c r="J56" s="87"/>
    </row>
    <row r="57" customFormat="false" ht="22.35" hidden="false" customHeight="false" outlineLevel="0" collapsed="false">
      <c r="A57" s="85" t="s">
        <v>260</v>
      </c>
      <c r="B57" s="96" t="str">
        <f aca="false">IF(B56&gt;='College Inputs'!$B$49,"OK — above minimum margin","Below minimum margin — reduce the discount")</f>
        <v>OK — above minimum margin</v>
      </c>
      <c r="C57" s="87"/>
      <c r="D57" s="87"/>
      <c r="E57" s="87"/>
      <c r="F57" s="87"/>
      <c r="G57" s="87"/>
      <c r="H57" s="87"/>
      <c r="I57" s="87"/>
      <c r="J57" s="87"/>
    </row>
    <row r="59" customFormat="false" ht="21.75" hidden="false" customHeight="true" outlineLevel="0" collapsed="false">
      <c r="A59" s="64" t="s">
        <v>261</v>
      </c>
      <c r="B59" s="64"/>
      <c r="C59" s="64"/>
      <c r="D59" s="64"/>
      <c r="E59" s="64"/>
      <c r="F59" s="64"/>
      <c r="G59" s="64"/>
      <c r="H59" s="64"/>
      <c r="I59" s="64"/>
      <c r="J59" s="64"/>
    </row>
    <row r="60" customFormat="false" ht="15" hidden="false" customHeight="false" outlineLevel="0" collapsed="false">
      <c r="A60" s="105" t="s">
        <v>262</v>
      </c>
      <c r="B60" s="107" t="str">
        <f aca="false">IF(B33=0,"",IF(AND(B7="Yes",B33='College Inputs'!$B$41),"University group discount","Multi-department discount")&amp;" ("&amp;TEXT(B33,"0%")&amp;")")</f>
        <v>Multi-department discount (15%)</v>
      </c>
      <c r="C60" s="107"/>
      <c r="D60" s="107"/>
      <c r="E60" s="107"/>
      <c r="F60" s="107"/>
      <c r="G60" s="107"/>
      <c r="H60" s="107"/>
      <c r="I60" s="107"/>
      <c r="J60" s="107"/>
    </row>
    <row r="61" customFormat="false" ht="15" hidden="false" customHeight="false" outlineLevel="0" collapsed="false">
      <c r="A61" s="105" t="s">
        <v>263</v>
      </c>
      <c r="B61" s="107" t="str">
        <f aca="false">IF(B8="Yes","Founding institution, ","")&amp;IF(B6="Government","Government college, ","")&amp;IF(B9=3,"3-year prepaid, ","")&amp;IF(B11&gt;0,"Special discount, ","")</f>
        <v>Founding institution, </v>
      </c>
      <c r="C61" s="107"/>
      <c r="D61" s="107"/>
      <c r="E61" s="107"/>
      <c r="F61" s="107"/>
      <c r="G61" s="107"/>
      <c r="H61" s="107"/>
      <c r="I61" s="107"/>
      <c r="J61" s="107"/>
    </row>
    <row r="62" customFormat="false" ht="15" hidden="false" customHeight="false" outlineLevel="0" collapsed="false">
      <c r="A62" s="105" t="s">
        <v>264</v>
      </c>
      <c r="B62" s="107" t="str">
        <f aca="false">IF(OR(B41=0,B61=""),"","Discount — "&amp;LEFT(B61,LEN(B61)-2)&amp;" ("&amp;TEXT(B41,"0%")&amp;")")</f>
        <v>Discount — Founding institution (25%)</v>
      </c>
      <c r="C62" s="107"/>
      <c r="D62" s="107"/>
      <c r="E62" s="107"/>
      <c r="F62" s="107"/>
      <c r="G62" s="107"/>
      <c r="H62" s="107"/>
      <c r="I62" s="107"/>
      <c r="J62" s="107"/>
    </row>
    <row r="63" customFormat="false" ht="15" hidden="false" customHeight="false" outlineLevel="0" collapsed="false">
      <c r="A63" s="105" t="s">
        <v>265</v>
      </c>
      <c r="B63" s="107" t="str">
        <f aca="false">IF(B9=3,"3 years, prepaid","1 year, renewable annually")</f>
        <v>1 year, renewable annually</v>
      </c>
      <c r="C63" s="107"/>
      <c r="D63" s="107"/>
      <c r="E63" s="107"/>
      <c r="F63" s="107"/>
      <c r="G63" s="107"/>
      <c r="H63" s="107"/>
      <c r="I63" s="107"/>
      <c r="J63" s="107"/>
    </row>
  </sheetData>
  <mergeCells count="68">
    <mergeCell ref="A1:J1"/>
    <mergeCell ref="A2:J2"/>
    <mergeCell ref="A4:E4"/>
    <mergeCell ref="F4:J4"/>
    <mergeCell ref="C5:E5"/>
    <mergeCell ref="F5:G5"/>
    <mergeCell ref="H5:J5"/>
    <mergeCell ref="C6:E6"/>
    <mergeCell ref="F6:G6"/>
    <mergeCell ref="H6:J6"/>
    <mergeCell ref="C7:E7"/>
    <mergeCell ref="F7:G7"/>
    <mergeCell ref="H7:J7"/>
    <mergeCell ref="C8:E8"/>
    <mergeCell ref="F8:G8"/>
    <mergeCell ref="H8:J8"/>
    <mergeCell ref="C9:E9"/>
    <mergeCell ref="F9:G9"/>
    <mergeCell ref="H9:J9"/>
    <mergeCell ref="C10:E10"/>
    <mergeCell ref="F10:G10"/>
    <mergeCell ref="H10:J10"/>
    <mergeCell ref="C11:E11"/>
    <mergeCell ref="F11:G11"/>
    <mergeCell ref="H11:J11"/>
    <mergeCell ref="C12:E12"/>
    <mergeCell ref="F12:G12"/>
    <mergeCell ref="H12:J12"/>
    <mergeCell ref="C13:E13"/>
    <mergeCell ref="F13:G13"/>
    <mergeCell ref="H13:J13"/>
    <mergeCell ref="C14:E14"/>
    <mergeCell ref="F14:G14"/>
    <mergeCell ref="H14:J14"/>
    <mergeCell ref="A16:J16"/>
    <mergeCell ref="A24:J24"/>
    <mergeCell ref="B29:G29"/>
    <mergeCell ref="A31:J31"/>
    <mergeCell ref="C32:J32"/>
    <mergeCell ref="C33:J33"/>
    <mergeCell ref="C34:J34"/>
    <mergeCell ref="C35:J35"/>
    <mergeCell ref="C36:J36"/>
    <mergeCell ref="C37:J37"/>
    <mergeCell ref="C38:J38"/>
    <mergeCell ref="C39:J39"/>
    <mergeCell ref="C40:J40"/>
    <mergeCell ref="C41:J41"/>
    <mergeCell ref="C42:J42"/>
    <mergeCell ref="C43:J43"/>
    <mergeCell ref="C44:J44"/>
    <mergeCell ref="C45:J45"/>
    <mergeCell ref="C46:J46"/>
    <mergeCell ref="C47:J47"/>
    <mergeCell ref="C48:J48"/>
    <mergeCell ref="C49:J49"/>
    <mergeCell ref="A51:J51"/>
    <mergeCell ref="C52:J52"/>
    <mergeCell ref="C53:J53"/>
    <mergeCell ref="C54:J54"/>
    <mergeCell ref="C55:J55"/>
    <mergeCell ref="C56:J56"/>
    <mergeCell ref="C57:J57"/>
    <mergeCell ref="A59:J59"/>
    <mergeCell ref="B60:J60"/>
    <mergeCell ref="B61:J61"/>
    <mergeCell ref="B62:J62"/>
    <mergeCell ref="B63:J63"/>
  </mergeCells>
  <dataValidations count="10">
    <dataValidation allowBlank="true" errorStyle="stop" operator="between" showDropDown="false" showErrorMessage="false" showInputMessage="false" sqref="B6" type="list">
      <formula1>"Private,Deemed,Government"</formula1>
      <formula2>0</formula2>
    </dataValidation>
    <dataValidation allowBlank="true" errorStyle="stop" operator="between" showDropDown="false" showErrorMessage="false" showInputMessage="false" sqref="B7" type="list">
      <formula1>"Yes,No"</formula1>
      <formula2>0</formula2>
    </dataValidation>
    <dataValidation allowBlank="true" errorStyle="stop" operator="between" showDropDown="false" showErrorMessage="false" showInputMessage="false" sqref="B8" type="list">
      <formula1>"Yes,No"</formula1>
      <formula2>0</formula2>
    </dataValidation>
    <dataValidation allowBlank="true" errorStyle="stop" operator="between" showDropDown="false" showErrorMessage="false" showInputMessage="false" sqref="B9" type="list">
      <formula1>"1,3"</formula1>
      <formula2>0</formula2>
    </dataValidation>
    <dataValidation allowBlank="true" errorStyle="stop" operator="between" showDropDown="false" showErrorMessage="false" showInputMessage="false" sqref="B10" type="list">
      <formula1>"Yes,No"</formula1>
      <formula2>0</formula2>
    </dataValidation>
    <dataValidation allowBlank="true" errorStyle="stop" operator="between" showDropDown="false" showErrorMessage="false" showInputMessage="false" sqref="B12" type="list">
      <formula1>"Yes,No"</formula1>
      <formula2>0</formula2>
    </dataValidation>
    <dataValidation allowBlank="true" errorStyle="stop" operator="between" showDropDown="false" showErrorMessage="false" showInputMessage="false" sqref="A18" type="list">
      <formula1>"Prosthodontics,Periodontology,Oral &amp; Maxillofacial Surgery,Centralised Implant Clinic,Implant Unit,—"</formula1>
      <formula2>0</formula2>
    </dataValidation>
    <dataValidation allowBlank="true" errorStyle="stop" operator="between" showDropDown="false" showErrorMessage="false" showInputMessage="false" sqref="A19" type="list">
      <formula1>"Prosthodontics,Periodontology,Oral &amp; Maxillofacial Surgery,Centralised Implant Clinic,Implant Unit,—"</formula1>
      <formula2>0</formula2>
    </dataValidation>
    <dataValidation allowBlank="true" errorStyle="stop" operator="between" showDropDown="false" showErrorMessage="false" showInputMessage="false" sqref="A20" type="list">
      <formula1>"Prosthodontics,Periodontology,Oral &amp; Maxillofacial Surgery,Centralised Implant Clinic,Implant Unit,—"</formula1>
      <formula2>0</formula2>
    </dataValidation>
    <dataValidation allowBlank="true" errorStyle="stop" operator="between" showDropDown="false" showErrorMessage="false" showInputMessage="false" sqref="A21" type="list">
      <formula1>"Prosthodontics,Periodontology,Oral &amp; Maxillofacial Surgery,Centralised Implant Clinic,Implant Unit,—"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7"/>
    <col collapsed="false" customWidth="true" hidden="false" outlineLevel="0" max="4" min="4" style="0" width="24"/>
    <col collapsed="false" customWidth="true" hidden="false" outlineLevel="0" max="5" min="5" style="0" width="26"/>
  </cols>
  <sheetData>
    <row r="1" customFormat="false" ht="61.5" hidden="false" customHeight="true" outlineLevel="0" collapsed="false">
      <c r="A1" s="108" t="str">
        <f aca="false">'College Quote Internal'!A1</f>
        <v>Implanr — Quote for Example Dental College</v>
      </c>
      <c r="B1" s="108"/>
      <c r="C1" s="108"/>
      <c r="D1" s="108"/>
      <c r="E1" s="108"/>
    </row>
    <row r="2" customFormat="false" ht="27.75" hidden="false" customHeight="true" outlineLevel="0" collapsed="false">
      <c r="A2" s="109" t="s">
        <v>266</v>
      </c>
      <c r="B2" s="109"/>
      <c r="C2" s="109"/>
      <c r="D2" s="109"/>
      <c r="E2" s="109"/>
    </row>
    <row r="4" customFormat="false" ht="19.5" hidden="false" customHeight="true" outlineLevel="0" collapsed="false">
      <c r="A4" s="110" t="s">
        <v>267</v>
      </c>
      <c r="B4" s="111" t="str">
        <f aca="false">'College Quote Internal'!B5</f>
        <v>Example Dental College</v>
      </c>
      <c r="C4" s="111"/>
      <c r="D4" s="110" t="s">
        <v>178</v>
      </c>
      <c r="E4" s="112" t="str">
        <f aca="false">'College Quote Internal'!H5</f>
        <v>IMP-Q-2026-001</v>
      </c>
    </row>
    <row r="5" customFormat="false" ht="19.5" hidden="false" customHeight="true" outlineLevel="0" collapsed="false">
      <c r="A5" s="110" t="s">
        <v>268</v>
      </c>
      <c r="B5" s="113" t="str">
        <f aca="false">'College Quote Internal'!B63</f>
        <v>1 year, renewable annually</v>
      </c>
      <c r="C5" s="113"/>
      <c r="D5" s="110" t="s">
        <v>182</v>
      </c>
      <c r="E5" s="114" t="n">
        <f aca="false">'College Quote Internal'!H6</f>
        <v>46314</v>
      </c>
    </row>
    <row r="6" customFormat="false" ht="19.5" hidden="false" customHeight="true" outlineLevel="0" collapsed="false">
      <c r="A6" s="110" t="s">
        <v>83</v>
      </c>
      <c r="B6" s="113" t="str">
        <f aca="false">COUNTIF('College Quote Internal'!B18:B21,"&gt;0")&amp;" licence(s) · "&amp;'College Quote Internal'!B22&amp;" PG students"</f>
        <v>3 licence(s) · 30 PG students</v>
      </c>
      <c r="C6" s="113"/>
      <c r="D6" s="110" t="s">
        <v>186</v>
      </c>
      <c r="E6" s="114" t="n">
        <f aca="false">'College Quote Internal'!H8</f>
        <v>46344</v>
      </c>
    </row>
    <row r="7" customFormat="false" ht="33.75" hidden="false" customHeight="true" outlineLevel="0" collapsed="false">
      <c r="A7" s="110" t="s">
        <v>189</v>
      </c>
      <c r="B7" s="113" t="str">
        <f aca="false">'College Quote Internal'!H9&amp;", "&amp;'College Quote Internal'!H10</f>
        <v>Dr. Abhijit Patil, Founder, Implanr, Prosthodontist and Implantologist</v>
      </c>
      <c r="C7" s="113"/>
      <c r="D7" s="110" t="s">
        <v>269</v>
      </c>
      <c r="E7" s="112" t="str">
        <f aca="false">'College Quote Internal'!H11&amp;IF(TRIM('College Quote Internal'!H12)="",""," · "&amp;'College Quote Internal'!H12)&amp;" · "&amp;'College Quote Internal'!H14</f>
        <v>info@implanr.com · implanr.com</v>
      </c>
    </row>
    <row r="9" customFormat="false" ht="21.75" hidden="false" customHeight="true" outlineLevel="0" collapsed="false">
      <c r="A9" s="115" t="s">
        <v>270</v>
      </c>
      <c r="B9" s="115"/>
      <c r="C9" s="115"/>
      <c r="D9" s="115"/>
      <c r="E9" s="115"/>
    </row>
    <row r="10" customFormat="false" ht="30" hidden="false" customHeight="true" outlineLevel="0" collapsed="false">
      <c r="A10" s="65" t="s">
        <v>67</v>
      </c>
      <c r="B10" s="65" t="s">
        <v>271</v>
      </c>
      <c r="C10" s="65" t="s">
        <v>207</v>
      </c>
      <c r="D10" s="65" t="s">
        <v>272</v>
      </c>
      <c r="E10" s="65" t="s">
        <v>113</v>
      </c>
    </row>
    <row r="11" customFormat="false" ht="15" hidden="false" customHeight="false" outlineLevel="0" collapsed="false">
      <c r="A11" s="112" t="str">
        <f aca="false">IF('College Quote Internal'!B18&lt;=0,"",'College Quote Internal'!A18)</f>
        <v>Prosthodontics</v>
      </c>
      <c r="B11" s="67" t="n">
        <f aca="false">IF('College Quote Internal'!B18&lt;=0,"",'College Quote Internal'!B18)</f>
        <v>12</v>
      </c>
      <c r="C11" s="78" t="str">
        <f aca="false">IF('College Quote Internal'!B18&lt;=0,"",'College Quote Internal'!C18&amp;IF('College Quote Internal'!E18&gt;0," + "&amp;'College Quote Internal'!E18&amp;" extra PGs",""))</f>
        <v>Standard 12</v>
      </c>
      <c r="D11" s="78" t="str">
        <f aca="false">IF('College Quote Internal'!B18&lt;=0,"",'College Quote Internal'!G18&amp;" / "&amp;'College Quote Internal'!H18&amp;" / "&amp;'College Quote Internal'!I18)</f>
        <v>4 / 2 / 1</v>
      </c>
      <c r="E11" s="97" t="n">
        <f aca="false">IF('College Quote Internal'!B18&lt;=0,"",'College Quote Internal'!D18+'College Quote Internal'!F18)</f>
        <v>60000</v>
      </c>
    </row>
    <row r="12" customFormat="false" ht="15" hidden="false" customHeight="false" outlineLevel="0" collapsed="false">
      <c r="A12" s="112" t="str">
        <f aca="false">IF('College Quote Internal'!B19&lt;=0,"",'College Quote Internal'!A19)</f>
        <v>Periodontology</v>
      </c>
      <c r="B12" s="67" t="n">
        <f aca="false">IF('College Quote Internal'!B19&lt;=0,"",'College Quote Internal'!B19)</f>
        <v>9</v>
      </c>
      <c r="C12" s="78" t="str">
        <f aca="false">IF('College Quote Internal'!B19&lt;=0,"",'College Quote Internal'!C19&amp;IF('College Quote Internal'!E19&gt;0," + "&amp;'College Quote Internal'!E19&amp;" extra PGs",""))</f>
        <v>Essential 9</v>
      </c>
      <c r="D12" s="78" t="str">
        <f aca="false">IF('College Quote Internal'!B19&lt;=0,"",'College Quote Internal'!G19&amp;" / "&amp;'College Quote Internal'!H19&amp;" / "&amp;'College Quote Internal'!I19)</f>
        <v>3 / 1 / 1</v>
      </c>
      <c r="E12" s="97" t="n">
        <f aca="false">IF('College Quote Internal'!B19&lt;=0,"",'College Quote Internal'!D19+'College Quote Internal'!F19)</f>
        <v>50000</v>
      </c>
    </row>
    <row r="13" customFormat="false" ht="15" hidden="false" customHeight="false" outlineLevel="0" collapsed="false">
      <c r="A13" s="112" t="str">
        <f aca="false">IF('College Quote Internal'!B20&lt;=0,"",'College Quote Internal'!A20)</f>
        <v>Oral &amp; Maxillofacial Surgery</v>
      </c>
      <c r="B13" s="67" t="n">
        <f aca="false">IF('College Quote Internal'!B20&lt;=0,"",'College Quote Internal'!B20)</f>
        <v>9</v>
      </c>
      <c r="C13" s="78" t="str">
        <f aca="false">IF('College Quote Internal'!B20&lt;=0,"",'College Quote Internal'!C20&amp;IF('College Quote Internal'!E20&gt;0," + "&amp;'College Quote Internal'!E20&amp;" extra PGs",""))</f>
        <v>Essential 9</v>
      </c>
      <c r="D13" s="78" t="str">
        <f aca="false">IF('College Quote Internal'!B20&lt;=0,"",'College Quote Internal'!G20&amp;" / "&amp;'College Quote Internal'!H20&amp;" / "&amp;'College Quote Internal'!I20)</f>
        <v>3 / 1 / 1</v>
      </c>
      <c r="E13" s="97" t="n">
        <f aca="false">IF('College Quote Internal'!B20&lt;=0,"",'College Quote Internal'!D20+'College Quote Internal'!F20)</f>
        <v>50000</v>
      </c>
    </row>
    <row r="14" customFormat="false" ht="15" hidden="false" customHeight="false" outlineLevel="0" collapsed="false">
      <c r="A14" s="112" t="str">
        <f aca="false">IF('College Quote Internal'!B21&lt;=0,"",'College Quote Internal'!A21)</f>
        <v/>
      </c>
      <c r="B14" s="67" t="str">
        <f aca="false">IF('College Quote Internal'!B21&lt;=0,"",'College Quote Internal'!B21)</f>
        <v/>
      </c>
      <c r="C14" s="78" t="str">
        <f aca="false">IF('College Quote Internal'!B21&lt;=0,"",'College Quote Internal'!C21&amp;IF('College Quote Internal'!E21&gt;0," + "&amp;'College Quote Internal'!E21&amp;" extra PGs",""))</f>
        <v/>
      </c>
      <c r="D14" s="78" t="str">
        <f aca="false">IF('College Quote Internal'!B21&lt;=0,"",'College Quote Internal'!G21&amp;" / "&amp;'College Quote Internal'!H21&amp;" / "&amp;'College Quote Internal'!I21)</f>
        <v/>
      </c>
      <c r="E14" s="97" t="str">
        <f aca="false">IF('College Quote Internal'!B21&lt;=0,"",'College Quote Internal'!D21+'College Quote Internal'!F21)</f>
        <v/>
      </c>
    </row>
    <row r="15" customFormat="false" ht="15" hidden="false" customHeight="false" outlineLevel="0" collapsed="false">
      <c r="A15" s="116" t="s">
        <v>218</v>
      </c>
      <c r="B15" s="100" t="n">
        <f aca="false">'College Quote Internal'!B22</f>
        <v>30</v>
      </c>
      <c r="C15" s="101" t="str">
        <f aca="false">'College Quote Internal'!C22</f>
        <v>3 licence(s)</v>
      </c>
      <c r="D15" s="101" t="str">
        <f aca="false">'College Quote Internal'!G22&amp;" / "&amp;'College Quote Internal'!H22&amp;" / "&amp;'College Quote Internal'!I22</f>
        <v>10 / 4 / 3</v>
      </c>
      <c r="E15" s="102" t="n">
        <f aca="false">'College Quote Internal'!B32</f>
        <v>160000</v>
      </c>
    </row>
    <row r="17" customFormat="false" ht="21.75" hidden="false" customHeight="true" outlineLevel="0" collapsed="false">
      <c r="A17" s="115" t="s">
        <v>273</v>
      </c>
      <c r="B17" s="115"/>
      <c r="C17" s="115"/>
      <c r="D17" s="115"/>
      <c r="E17" s="115"/>
    </row>
    <row r="18" customFormat="false" ht="30" hidden="false" customHeight="true" outlineLevel="0" collapsed="false">
      <c r="A18" s="65" t="s">
        <v>148</v>
      </c>
      <c r="B18" s="65" t="s">
        <v>274</v>
      </c>
      <c r="C18" s="65" t="s">
        <v>275</v>
      </c>
      <c r="D18" s="65" t="s">
        <v>276</v>
      </c>
      <c r="E18" s="65" t="s">
        <v>277</v>
      </c>
    </row>
    <row r="19" customFormat="false" ht="15" hidden="false" customHeight="false" outlineLevel="0" collapsed="false">
      <c r="A19" s="112" t="s">
        <v>226</v>
      </c>
      <c r="B19" s="67" t="n">
        <f aca="false">'College Quote Internal'!B26</f>
        <v>10</v>
      </c>
      <c r="C19" s="67" t="n">
        <f aca="false">'College Quote Internal'!C26</f>
        <v>12</v>
      </c>
      <c r="D19" s="67" t="n">
        <f aca="false">'College Quote Internal'!D26</f>
        <v>2</v>
      </c>
      <c r="E19" s="97" t="n">
        <f aca="false">IF('College Quote Internal'!F26=0,"Nil",'College Quote Internal'!F26)</f>
        <v>6000</v>
      </c>
    </row>
    <row r="20" customFormat="false" ht="15" hidden="false" customHeight="false" outlineLevel="0" collapsed="false">
      <c r="A20" s="112" t="s">
        <v>227</v>
      </c>
      <c r="B20" s="67" t="n">
        <f aca="false">'College Quote Internal'!B27</f>
        <v>4</v>
      </c>
      <c r="C20" s="67" t="n">
        <f aca="false">'College Quote Internal'!C27</f>
        <v>4</v>
      </c>
      <c r="D20" s="67" t="n">
        <f aca="false">'College Quote Internal'!D27</f>
        <v>0</v>
      </c>
      <c r="E20" s="97" t="str">
        <f aca="false">IF('College Quote Internal'!F27=0,"Nil",'College Quote Internal'!F27)</f>
        <v>Nil</v>
      </c>
    </row>
    <row r="21" customFormat="false" ht="15" hidden="false" customHeight="false" outlineLevel="0" collapsed="false">
      <c r="A21" s="112" t="s">
        <v>228</v>
      </c>
      <c r="B21" s="67" t="n">
        <f aca="false">'College Quote Internal'!B28</f>
        <v>3</v>
      </c>
      <c r="C21" s="67" t="n">
        <f aca="false">'College Quote Internal'!C28</f>
        <v>2</v>
      </c>
      <c r="D21" s="67" t="n">
        <f aca="false">'College Quote Internal'!D28</f>
        <v>0</v>
      </c>
      <c r="E21" s="97" t="str">
        <f aca="false">IF('College Quote Internal'!F28=0,"Nil",'College Quote Internal'!F28)</f>
        <v>Nil</v>
      </c>
    </row>
    <row r="22" customFormat="false" ht="15" hidden="false" customHeight="false" outlineLevel="0" collapsed="false">
      <c r="A22" s="112" t="s">
        <v>229</v>
      </c>
      <c r="B22" s="67" t="n">
        <v>3</v>
      </c>
      <c r="C22" s="78"/>
      <c r="D22" s="78" t="s">
        <v>278</v>
      </c>
      <c r="E22" s="117" t="s">
        <v>109</v>
      </c>
    </row>
    <row r="24" customFormat="false" ht="21.75" hidden="false" customHeight="true" outlineLevel="0" collapsed="false">
      <c r="A24" s="115" t="s">
        <v>279</v>
      </c>
      <c r="B24" s="115"/>
      <c r="C24" s="115"/>
      <c r="D24" s="115"/>
      <c r="E24" s="115"/>
    </row>
    <row r="25" customFormat="false" ht="30" hidden="false" customHeight="true" outlineLevel="0" collapsed="false">
      <c r="A25" s="65" t="s">
        <v>116</v>
      </c>
      <c r="B25" s="65" t="s">
        <v>280</v>
      </c>
      <c r="C25" s="65"/>
      <c r="D25" s="65"/>
      <c r="E25" s="65" t="s">
        <v>277</v>
      </c>
    </row>
    <row r="26" customFormat="false" ht="15" hidden="false" customHeight="false" outlineLevel="0" collapsed="false">
      <c r="A26" s="112" t="s">
        <v>235</v>
      </c>
      <c r="B26" s="113" t="str">
        <f aca="false">IF('College Quote Internal'!B14&lt;=0,"Not selected",'College Quote Internal'!B36&amp;" — "&amp;'College Quote Internal'!B14&amp;" interns placing implants under supervision")</f>
        <v>Interns 60 — 60 interns placing implants under supervision</v>
      </c>
      <c r="C26" s="113"/>
      <c r="D26" s="113"/>
      <c r="E26" s="97" t="n">
        <f aca="false">IF('College Quote Internal'!B37=0,"",'College Quote Internal'!B37)</f>
        <v>40000</v>
      </c>
    </row>
    <row r="27" customFormat="false" ht="15" hidden="false" customHeight="false" outlineLevel="0" collapsed="false">
      <c r="A27" s="112" t="s">
        <v>281</v>
      </c>
      <c r="B27" s="113" t="str">
        <f aca="false">IF('College Quote Internal'!B13&lt;=0,"Not selected",'College Quote Internal'!B13&amp;" fellow(s)")</f>
        <v>Not selected</v>
      </c>
      <c r="C27" s="113"/>
      <c r="D27" s="113"/>
      <c r="E27" s="97" t="str">
        <f aca="false">IF('College Quote Internal'!B38=0,"",'College Quote Internal'!B38)</f>
        <v/>
      </c>
    </row>
    <row r="28" customFormat="false" ht="15" hidden="false" customHeight="false" outlineLevel="0" collapsed="false">
      <c r="A28" s="112" t="s">
        <v>119</v>
      </c>
      <c r="B28" s="113" t="str">
        <f aca="false">IF('College Quote Internal'!B12="Yes","Selected — dissertation studies inside the case records","Not selected")</f>
        <v>Not selected</v>
      </c>
      <c r="C28" s="113"/>
      <c r="D28" s="113"/>
      <c r="E28" s="97" t="str">
        <f aca="false">IF('College Quote Internal'!B39=0,"",'College Quote Internal'!B39)</f>
        <v/>
      </c>
    </row>
    <row r="29" customFormat="false" ht="15" hidden="false" customHeight="true" outlineLevel="0" collapsed="false">
      <c r="A29" s="118" t="s">
        <v>282</v>
      </c>
      <c r="B29" s="118"/>
      <c r="C29" s="118"/>
      <c r="D29" s="118"/>
      <c r="E29" s="118"/>
    </row>
    <row r="31" customFormat="false" ht="21.75" hidden="false" customHeight="true" outlineLevel="0" collapsed="false">
      <c r="A31" s="115" t="s">
        <v>283</v>
      </c>
      <c r="B31" s="115"/>
      <c r="C31" s="115"/>
      <c r="D31" s="115"/>
      <c r="E31" s="115"/>
    </row>
    <row r="32" customFormat="false" ht="18" hidden="false" customHeight="true" outlineLevel="0" collapsed="false">
      <c r="A32" s="113" t="s">
        <v>284</v>
      </c>
      <c r="B32" s="113"/>
      <c r="C32" s="113"/>
      <c r="D32" s="113"/>
      <c r="E32" s="97" t="n">
        <f aca="false">'College Quote Internal'!B32</f>
        <v>160000</v>
      </c>
    </row>
    <row r="33" customFormat="false" ht="18" hidden="false" customHeight="true" outlineLevel="0" collapsed="false">
      <c r="A33" s="113" t="str">
        <f aca="false">IF('College Quote Internal'!B60="","Multi-department discount",'College Quote Internal'!B60)</f>
        <v>Multi-department discount (15%)</v>
      </c>
      <c r="B33" s="113"/>
      <c r="C33" s="113"/>
      <c r="D33" s="113"/>
      <c r="E33" s="97" t="str">
        <f aca="false">IF('College Quote Internal'!B33=0,"Nil","– Rs "&amp;TEXT('College Quote Internal'!B32*'College Quote Internal'!B33,"[&gt;=100000]##\,##\,##0;##,##0"))</f>
        <v>– Rs 24,000</v>
      </c>
    </row>
    <row r="34" customFormat="false" ht="18" hidden="false" customHeight="true" outlineLevel="0" collapsed="false">
      <c r="A34" s="113" t="s">
        <v>285</v>
      </c>
      <c r="B34" s="113"/>
      <c r="C34" s="113"/>
      <c r="D34" s="113"/>
      <c r="E34" s="97" t="n">
        <f aca="false">'College Quote Internal'!B34</f>
        <v>136000</v>
      </c>
    </row>
    <row r="35" customFormat="false" ht="18" hidden="false" customHeight="true" outlineLevel="0" collapsed="false">
      <c r="A35" s="113" t="s">
        <v>276</v>
      </c>
      <c r="B35" s="113"/>
      <c r="C35" s="113"/>
      <c r="D35" s="113"/>
      <c r="E35" s="97" t="n">
        <f aca="false">'College Quote Internal'!B35</f>
        <v>6000</v>
      </c>
    </row>
    <row r="36" customFormat="false" ht="18" hidden="false" customHeight="true" outlineLevel="0" collapsed="false">
      <c r="A36" s="113" t="s">
        <v>286</v>
      </c>
      <c r="B36" s="113"/>
      <c r="C36" s="113"/>
      <c r="D36" s="113"/>
      <c r="E36" s="97" t="n">
        <f aca="false">'College Quote Internal'!B37+'College Quote Internal'!B38+'College Quote Internal'!B39</f>
        <v>40000</v>
      </c>
    </row>
    <row r="37" customFormat="false" ht="18" hidden="false" customHeight="true" outlineLevel="0" collapsed="false">
      <c r="A37" s="111" t="s">
        <v>237</v>
      </c>
      <c r="B37" s="111"/>
      <c r="C37" s="111"/>
      <c r="D37" s="111"/>
      <c r="E37" s="119" t="n">
        <f aca="false">'College Quote Internal'!B40</f>
        <v>182000</v>
      </c>
    </row>
    <row r="38" customFormat="false" ht="18" hidden="false" customHeight="true" outlineLevel="0" collapsed="false">
      <c r="A38" s="113" t="str">
        <f aca="false">IF('College Quote Internal'!B62="","Discount",'College Quote Internal'!B62)</f>
        <v>Discount — Founding institution (25%)</v>
      </c>
      <c r="B38" s="113"/>
      <c r="C38" s="113"/>
      <c r="D38" s="113"/>
      <c r="E38" s="97" t="str">
        <f aca="false">IF('College Quote Internal'!B41=0,"Nil","– Rs "&amp;TEXT('College Quote Internal'!B42,"[&gt;=100000]##\,##\,##0;##,##0"))</f>
        <v>– Rs 45,500</v>
      </c>
    </row>
    <row r="39" customFormat="false" ht="18" hidden="false" customHeight="true" outlineLevel="0" collapsed="false">
      <c r="A39" s="120" t="s">
        <v>241</v>
      </c>
      <c r="B39" s="120"/>
      <c r="C39" s="120"/>
      <c r="D39" s="120"/>
      <c r="E39" s="121" t="n">
        <f aca="false">'College Quote Internal'!B43</f>
        <v>136500</v>
      </c>
    </row>
    <row r="40" customFormat="false" ht="18" hidden="false" customHeight="true" outlineLevel="0" collapsed="false">
      <c r="A40" s="113" t="s">
        <v>243</v>
      </c>
      <c r="B40" s="113"/>
      <c r="C40" s="113"/>
      <c r="D40" s="113"/>
      <c r="E40" s="97" t="n">
        <f aca="false">IF('College Quote Internal'!B44=0,IF('College Quote Internal'!B9=3,"Waived (3-year contract)","Nil"),'College Quote Internal'!B44)</f>
        <v>25000</v>
      </c>
    </row>
    <row r="41" customFormat="false" ht="18" hidden="false" customHeight="true" outlineLevel="0" collapsed="false">
      <c r="A41" s="111" t="str">
        <f aca="false">IF('College Quote Internal'!B9=3,"Amount payable on signing — 3 years prepaid (excl GST)","Amount payable on signing (excl GST)")</f>
        <v>Amount payable on signing (excl GST)</v>
      </c>
      <c r="B41" s="111"/>
      <c r="C41" s="111"/>
      <c r="D41" s="111"/>
      <c r="E41" s="119" t="n">
        <f aca="false">'College Quote Internal'!B45</f>
        <v>161500</v>
      </c>
    </row>
    <row r="42" customFormat="false" ht="18" hidden="false" customHeight="true" outlineLevel="0" collapsed="false">
      <c r="A42" s="113" t="str">
        <f aca="false">"GST @ "&amp;TEXT('College Inputs'!$B$48,"0%")</f>
        <v>GST @ 18%</v>
      </c>
      <c r="B42" s="113"/>
      <c r="C42" s="113"/>
      <c r="D42" s="113"/>
      <c r="E42" s="97" t="n">
        <f aca="false">'College Quote Internal'!B46</f>
        <v>29070</v>
      </c>
    </row>
    <row r="43" customFormat="false" ht="24" hidden="false" customHeight="true" outlineLevel="0" collapsed="false">
      <c r="A43" s="122" t="s">
        <v>287</v>
      </c>
      <c r="B43" s="122"/>
      <c r="C43" s="122"/>
      <c r="D43" s="122"/>
      <c r="E43" s="123" t="n">
        <f aca="false">'College Quote Internal'!B47</f>
        <v>190570</v>
      </c>
    </row>
    <row r="44" customFormat="false" ht="18" hidden="false" customHeight="true" outlineLevel="0" collapsed="false">
      <c r="A44" s="113" t="s">
        <v>288</v>
      </c>
      <c r="B44" s="113"/>
      <c r="C44" s="113"/>
      <c r="D44" s="113"/>
      <c r="E44" s="97" t="n">
        <f aca="false">IF('College Quote Internal'!B9=3,"Not applicable — prepaid for 3 years",'College Quote Internal'!B48)</f>
        <v>136500</v>
      </c>
    </row>
    <row r="45" customFormat="false" ht="18" hidden="false" customHeight="true" outlineLevel="0" collapsed="false">
      <c r="A45" s="113" t="s">
        <v>289</v>
      </c>
      <c r="B45" s="113"/>
      <c r="C45" s="113"/>
      <c r="D45" s="113"/>
      <c r="E45" s="97" t="n">
        <f aca="false">'College Quote Internal'!B49</f>
        <v>3400</v>
      </c>
    </row>
    <row r="47" customFormat="false" ht="21.75" hidden="false" customHeight="true" outlineLevel="0" collapsed="false">
      <c r="A47" s="115" t="s">
        <v>290</v>
      </c>
      <c r="B47" s="115"/>
      <c r="C47" s="115"/>
      <c r="D47" s="115"/>
      <c r="E47" s="115"/>
    </row>
    <row r="48" customFormat="false" ht="18" hidden="false" customHeight="true" outlineLevel="0" collapsed="false">
      <c r="A48" s="124" t="s">
        <v>291</v>
      </c>
      <c r="B48" s="124"/>
      <c r="C48" s="124" t="s">
        <v>292</v>
      </c>
      <c r="D48" s="124"/>
      <c r="E48" s="124"/>
    </row>
    <row r="49" customFormat="false" ht="18" hidden="false" customHeight="true" outlineLevel="0" collapsed="false">
      <c r="A49" s="124" t="s">
        <v>293</v>
      </c>
      <c r="B49" s="124"/>
      <c r="C49" s="124" t="s">
        <v>294</v>
      </c>
      <c r="D49" s="124"/>
      <c r="E49" s="124"/>
    </row>
    <row r="50" customFormat="false" ht="18" hidden="false" customHeight="true" outlineLevel="0" collapsed="false">
      <c r="A50" s="124" t="s">
        <v>295</v>
      </c>
      <c r="B50" s="124"/>
      <c r="C50" s="124" t="s">
        <v>296</v>
      </c>
      <c r="D50" s="124"/>
      <c r="E50" s="124"/>
    </row>
    <row r="51" customFormat="false" ht="18" hidden="false" customHeight="true" outlineLevel="0" collapsed="false">
      <c r="A51" s="124" t="s">
        <v>297</v>
      </c>
      <c r="B51" s="124"/>
      <c r="C51" s="124" t="s">
        <v>298</v>
      </c>
      <c r="D51" s="124"/>
      <c r="E51" s="124"/>
    </row>
    <row r="53" customFormat="false" ht="21.75" hidden="false" customHeight="true" outlineLevel="0" collapsed="false">
      <c r="A53" s="115" t="s">
        <v>299</v>
      </c>
      <c r="B53" s="115"/>
      <c r="C53" s="115"/>
      <c r="D53" s="115"/>
      <c r="E53" s="115"/>
    </row>
    <row r="54" customFormat="false" ht="18" hidden="false" customHeight="true" outlineLevel="0" collapsed="false">
      <c r="A54" s="125" t="str">
        <f aca="false">"All prices are in Indian rupees and exclude GST, which is charged at "&amp;TEXT('College Inputs'!$B$48,"0%")&amp;"."</f>
        <v>All prices are in Indian rupees and exclude GST, which is charged at 18%.</v>
      </c>
      <c r="B54" s="125"/>
      <c r="C54" s="125"/>
      <c r="D54" s="125"/>
      <c r="E54" s="125"/>
    </row>
    <row r="55" customFormat="false" ht="18" hidden="false" customHeight="true" outlineLevel="0" collapsed="false">
      <c r="A55" s="125" t="str">
        <f aca="false">"This quotation is valid until "&amp;TEXT('College Quote Internal'!H8,"dd mmm yyyy")&amp;"."</f>
        <v>This quotation is valid until 18 Nov 2026.</v>
      </c>
      <c r="B55" s="125"/>
      <c r="C55" s="125"/>
      <c r="D55" s="125"/>
      <c r="E55" s="125"/>
    </row>
    <row r="56" customFormat="false" ht="18" hidden="false" customHeight="true" outlineLevel="0" collapsed="false">
      <c r="A56" s="125" t="str">
        <f aca="false">"Payment: "&amp;'College Quote Internal'!H13&amp;"."</f>
        <v>Payment: 100% in advance, within 30 days of invoice.</v>
      </c>
      <c r="B56" s="125"/>
      <c r="C56" s="125"/>
      <c r="D56" s="125"/>
      <c r="E56" s="125"/>
    </row>
    <row r="57" customFormat="false" ht="18" hidden="false" customHeight="true" outlineLevel="0" collapsed="false">
      <c r="A57" s="125" t="str">
        <f aca="false">"Licences are billed annually in advance, aligned to the start of the MDS academic session; the first year may be pro-rated."</f>
        <v>Licences are billed annually in advance, aligned to the start of the MDS academic session; the first year may be pro-rated.</v>
      </c>
      <c r="B57" s="125"/>
      <c r="C57" s="125"/>
      <c r="D57" s="125"/>
      <c r="E57" s="125"/>
    </row>
    <row r="58" customFormat="false" ht="18" hidden="false" customHeight="true" outlineLevel="0" collapsed="false">
      <c r="A58" s="125" t="str">
        <f aca="false">IF('College Quote Internal'!B9=3,"Three-year contract: prepaid, with the price fixed for the full term.",IF('College Quote Internal'!B8="Yes","Founding-institution price is held for 3 years from the start date.","Renewal prices may rise by up to "&amp;TEXT('College Inputs'!$B$47,"0%")&amp;" a year."))</f>
        <v>Founding-institution price is held for 3 years from the start date.</v>
      </c>
      <c r="B58" s="125"/>
      <c r="C58" s="125"/>
      <c r="D58" s="125"/>
      <c r="E58" s="125"/>
    </row>
    <row r="59" customFormat="false" ht="18" hidden="false" customHeight="true" outlineLevel="0" collapsed="false">
      <c r="A59" s="125" t="str">
        <f aca="false">"Supervisor, in-charge and admin allowances are pooled across all licences. Additional users can be added during the year at the per-user rate."</f>
        <v>Supervisor, in-charge and admin allowances are pooled across all licences. Additional users can be added during the year at the per-user rate.</v>
      </c>
      <c r="B59" s="125"/>
      <c r="C59" s="125"/>
      <c r="D59" s="125"/>
      <c r="E59" s="125"/>
    </row>
    <row r="60" customFormat="false" ht="18" hidden="false" customHeight="true" outlineLevel="0" collapsed="false">
      <c r="A60" s="125" t="str">
        <f aca="false">"Fair use: "&amp;'College Inputs'!$B$50&amp;" GB of images per licence; additional storage is available on request."</f>
        <v>Fair use: 250 GB of images per licence; additional storage is available on request.</v>
      </c>
      <c r="B60" s="125"/>
      <c r="C60" s="125"/>
      <c r="D60" s="125"/>
      <c r="E60" s="125"/>
    </row>
    <row r="61" customFormat="false" ht="18" hidden="false" customHeight="true" outlineLevel="0" collapsed="false">
      <c r="A61" s="125" t="str">
        <f aca="false">"The licence covers patients treated in the college teaching hospital."</f>
        <v>The licence covers patients treated in the college teaching hospital.</v>
      </c>
      <c r="B61" s="125"/>
      <c r="C61" s="125"/>
      <c r="D61" s="125"/>
      <c r="E61" s="125"/>
    </row>
    <row r="62" customFormat="false" ht="18" hidden="false" customHeight="true" outlineLevel="0" collapsed="false">
      <c r="A62" s="125" t="str">
        <f aca="false">"All clinical data belongs to the college and can be exported in full at any time, including after the licence ends."</f>
        <v>All clinical data belongs to the college and can be exported in full at any time, including after the licence ends.</v>
      </c>
      <c r="B62" s="125"/>
      <c r="C62" s="125"/>
      <c r="D62" s="125"/>
      <c r="E62" s="125"/>
    </row>
    <row r="64" customFormat="false" ht="21.75" hidden="false" customHeight="true" outlineLevel="0" collapsed="false">
      <c r="A64" s="115" t="s">
        <v>300</v>
      </c>
      <c r="B64" s="115"/>
      <c r="C64" s="115"/>
      <c r="D64" s="115"/>
      <c r="E64" s="115"/>
    </row>
    <row r="65" customFormat="false" ht="15" hidden="false" customHeight="true" outlineLevel="0" collapsed="false">
      <c r="A65" s="120" t="s">
        <v>301</v>
      </c>
      <c r="B65" s="120"/>
      <c r="C65" s="120" t="str">
        <f aca="false">"For "&amp;IF(TRIM('College Quote Internal'!B5)="","the college",'College Quote Internal'!B5)</f>
        <v>For Example Dental College</v>
      </c>
      <c r="D65" s="120"/>
      <c r="E65" s="120"/>
    </row>
    <row r="66" customFormat="false" ht="30" hidden="false" customHeight="true" outlineLevel="0" collapsed="false">
      <c r="A66" s="113" t="str">
        <f aca="false">"Name: "&amp;'College Quote Internal'!H9&amp;", "&amp;'College Quote Internal'!H10</f>
        <v>Name: Dr. Abhijit Patil, Founder, Implanr, Prosthodontist and Implantologist</v>
      </c>
      <c r="B66" s="113"/>
      <c r="C66" s="113" t="s">
        <v>302</v>
      </c>
      <c r="D66" s="113"/>
      <c r="E66" s="113"/>
    </row>
    <row r="67" customFormat="false" ht="30" hidden="false" customHeight="true" outlineLevel="0" collapsed="false">
      <c r="A67" s="113" t="s">
        <v>303</v>
      </c>
      <c r="B67" s="113"/>
      <c r="C67" s="113" t="s">
        <v>304</v>
      </c>
      <c r="D67" s="113"/>
      <c r="E67" s="113"/>
    </row>
    <row r="68" customFormat="false" ht="30" hidden="false" customHeight="true" outlineLevel="0" collapsed="false">
      <c r="A68" s="113" t="s">
        <v>305</v>
      </c>
      <c r="B68" s="113"/>
      <c r="C68" s="113" t="s">
        <v>305</v>
      </c>
      <c r="D68" s="113"/>
      <c r="E68" s="113"/>
    </row>
  </sheetData>
  <sheetProtection sheet="true"/>
  <mergeCells count="57">
    <mergeCell ref="A1:E1"/>
    <mergeCell ref="A2:E2"/>
    <mergeCell ref="B4:C4"/>
    <mergeCell ref="B5:C5"/>
    <mergeCell ref="B6:C6"/>
    <mergeCell ref="B7:C7"/>
    <mergeCell ref="A9:E9"/>
    <mergeCell ref="A17:E17"/>
    <mergeCell ref="A24:E24"/>
    <mergeCell ref="B25:D25"/>
    <mergeCell ref="B26:D26"/>
    <mergeCell ref="B27:D27"/>
    <mergeCell ref="B28:D28"/>
    <mergeCell ref="A29:E29"/>
    <mergeCell ref="A31:E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7:E47"/>
    <mergeCell ref="A48:B48"/>
    <mergeCell ref="C48:E48"/>
    <mergeCell ref="A49:B49"/>
    <mergeCell ref="C49:E49"/>
    <mergeCell ref="A50:B50"/>
    <mergeCell ref="C50:E50"/>
    <mergeCell ref="A51:B51"/>
    <mergeCell ref="C51:E51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4:E64"/>
    <mergeCell ref="A65:B65"/>
    <mergeCell ref="C65:E65"/>
    <mergeCell ref="A66:B66"/>
    <mergeCell ref="C66:E66"/>
    <mergeCell ref="A67:B67"/>
    <mergeCell ref="C67:E67"/>
    <mergeCell ref="A68:B68"/>
    <mergeCell ref="C68:E68"/>
  </mergeCells>
  <printOptions headings="false" gridLines="false" gridLinesSet="true" horizontalCentered="true" verticalCentered="false"/>
  <pageMargins left="0.4" right="0.4" top="0.5" bottom="0.6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&amp;C&amp;"Arial,Regular"&amp;8 Implanr  ·  implanr.com  ·  Page &amp;P of &amp;N</oddFooter>
  </headerFooter>
  <rowBreaks count="1" manualBreakCount="1">
    <brk id="46" man="true" max="16383" min="0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8" min="2" style="0" width="16"/>
  </cols>
  <sheetData>
    <row r="1" customFormat="false" ht="31.5" hidden="false" customHeight="true" outlineLevel="0" collapsed="false">
      <c r="A1" s="40" t="s">
        <v>306</v>
      </c>
      <c r="B1" s="40"/>
      <c r="C1" s="40"/>
      <c r="D1" s="40"/>
      <c r="E1" s="40"/>
      <c r="F1" s="40"/>
      <c r="G1" s="40"/>
      <c r="H1" s="40"/>
    </row>
    <row r="2" customFormat="false" ht="31.5" hidden="false" customHeight="true" outlineLevel="0" collapsed="false">
      <c r="A2" s="41" t="s">
        <v>307</v>
      </c>
      <c r="B2" s="41"/>
      <c r="C2" s="41"/>
      <c r="D2" s="41"/>
      <c r="E2" s="41"/>
      <c r="F2" s="41"/>
      <c r="G2" s="41"/>
      <c r="H2" s="41"/>
    </row>
    <row r="4" customFormat="false" ht="21.75" hidden="false" customHeight="true" outlineLevel="0" collapsed="false">
      <c r="A4" s="64" t="s">
        <v>308</v>
      </c>
      <c r="B4" s="64"/>
      <c r="C4" s="64"/>
      <c r="D4" s="64"/>
      <c r="E4" s="64"/>
      <c r="F4" s="64"/>
      <c r="G4" s="64"/>
      <c r="H4" s="64"/>
    </row>
    <row r="5" customFormat="false" ht="30" hidden="false" customHeight="true" outlineLevel="0" collapsed="false">
      <c r="A5" s="65" t="s">
        <v>309</v>
      </c>
      <c r="B5" s="65" t="s">
        <v>310</v>
      </c>
      <c r="C5" s="65" t="s">
        <v>311</v>
      </c>
      <c r="D5" s="65" t="s">
        <v>312</v>
      </c>
      <c r="E5" s="65" t="s">
        <v>313</v>
      </c>
      <c r="F5" s="65" t="s">
        <v>314</v>
      </c>
      <c r="G5" s="65" t="s">
        <v>315</v>
      </c>
      <c r="H5" s="65" t="s">
        <v>316</v>
      </c>
    </row>
    <row r="6" customFormat="false" ht="15" hidden="false" customHeight="false" outlineLevel="0" collapsed="false">
      <c r="A6" s="85" t="s">
        <v>317</v>
      </c>
      <c r="B6" s="126" t="n">
        <f aca="false">B20</f>
        <v>5</v>
      </c>
      <c r="C6" s="126" t="n">
        <f aca="false">D20</f>
        <v>27</v>
      </c>
      <c r="D6" s="126" t="n">
        <f aca="false">F20</f>
        <v>47</v>
      </c>
      <c r="E6" s="127" t="n">
        <f aca="false">D31</f>
        <v>53.5821278592</v>
      </c>
      <c r="F6" s="127" t="n">
        <f aca="false">D39</f>
        <v>35.2848578592</v>
      </c>
      <c r="G6" s="128" t="n">
        <f aca="false">F40</f>
        <v>186.771328716358</v>
      </c>
      <c r="H6" s="96" t="str">
        <f aca="false">IF(B41&gt;=0,"Year 1",IF(C41&gt;=0,"Year 2",IF(D41&gt;=0,"Year 3",IF(E41&gt;=0,"Year 4",IF(F41&gt;=0,"Year 5","Beyond Year 5")))))</f>
        <v>Year 2</v>
      </c>
    </row>
    <row r="7" customFormat="false" ht="15" hidden="false" customHeight="false" outlineLevel="0" collapsed="false">
      <c r="A7" s="85" t="s">
        <v>318</v>
      </c>
      <c r="B7" s="126" t="n">
        <f aca="false">B48</f>
        <v>10</v>
      </c>
      <c r="C7" s="126" t="n">
        <f aca="false">D48</f>
        <v>55</v>
      </c>
      <c r="D7" s="126" t="n">
        <f aca="false">F48</f>
        <v>95</v>
      </c>
      <c r="E7" s="127" t="n">
        <f aca="false">D59</f>
        <v>109.079334528</v>
      </c>
      <c r="F7" s="127" t="n">
        <f aca="false">D67</f>
        <v>74.973784528</v>
      </c>
      <c r="G7" s="128" t="n">
        <f aca="false">F68</f>
        <v>394.419568673504</v>
      </c>
      <c r="H7" s="96" t="str">
        <f aca="false">IF(B69&gt;=0,"Year 1",IF(C69&gt;=0,"Year 2",IF(D69&gt;=0,"Year 3",IF(E69&gt;=0,"Year 4",IF(F69&gt;=0,"Year 5","Beyond Year 5")))))</f>
        <v>Year 2</v>
      </c>
    </row>
    <row r="8" customFormat="false" ht="15" hidden="false" customHeight="false" outlineLevel="0" collapsed="false">
      <c r="A8" s="85" t="s">
        <v>319</v>
      </c>
      <c r="B8" s="126" t="n">
        <f aca="false">B76</f>
        <v>20</v>
      </c>
      <c r="C8" s="126" t="n">
        <f aca="false">D76</f>
        <v>94</v>
      </c>
      <c r="D8" s="126" t="n">
        <f aca="false">F76</f>
        <v>161</v>
      </c>
      <c r="E8" s="127" t="n">
        <f aca="false">D87</f>
        <v>186.2674081024</v>
      </c>
      <c r="F8" s="127" t="n">
        <f aca="false">D95</f>
        <v>130.2324681024</v>
      </c>
      <c r="G8" s="128" t="n">
        <f aca="false">F96</f>
        <v>685.315377853779</v>
      </c>
      <c r="H8" s="96" t="str">
        <f aca="false">IF(B97&gt;=0,"Year 1",IF(C97&gt;=0,"Year 2",IF(D97&gt;=0,"Year 3",IF(E97&gt;=0,"Year 4",IF(F97&gt;=0,"Year 5","Beyond Year 5")))))</f>
        <v>Year 1</v>
      </c>
    </row>
    <row r="10" customFormat="false" ht="21.75" hidden="false" customHeight="true" outlineLevel="0" collapsed="false">
      <c r="A10" s="85" t="s">
        <v>320</v>
      </c>
      <c r="B10" s="127" t="n">
        <f aca="false">IF(D48=0,0,D64/D48)</f>
        <v>1.41770517323636</v>
      </c>
    </row>
    <row r="11" customFormat="false" ht="21.75" hidden="false" customHeight="true" outlineLevel="0" collapsed="false">
      <c r="A11" s="85" t="s">
        <v>321</v>
      </c>
      <c r="B11" s="126" t="n">
        <f aca="false">IF(B10=0,0,ROUNDUP(('College Inputs'!$B$55/100000)/B10,0))</f>
        <v>3</v>
      </c>
    </row>
    <row r="12" customFormat="false" ht="21.75" hidden="false" customHeight="true" outlineLevel="0" collapsed="false">
      <c r="A12" s="85" t="s">
        <v>322</v>
      </c>
      <c r="B12" s="126" t="n">
        <f aca="false">IF(B10=0,0,ROUNDUP((('College Inputs'!$B$55+'College Inputs'!$B$54)/100000)/B10,0))</f>
        <v>10</v>
      </c>
    </row>
    <row r="13" customFormat="false" ht="21.75" hidden="false" customHeight="true" outlineLevel="0" collapsed="false">
      <c r="A13" s="85" t="s">
        <v>323</v>
      </c>
      <c r="B13" s="127" t="n">
        <f aca="false">IF(D48=0,0,'College Inputs'!$B$57*D59/D48)</f>
        <v>573.162321428946</v>
      </c>
    </row>
    <row r="16" customFormat="false" ht="21.75" hidden="false" customHeight="true" outlineLevel="0" collapsed="false">
      <c r="A16" s="64" t="s">
        <v>324</v>
      </c>
      <c r="B16" s="64"/>
      <c r="C16" s="64"/>
      <c r="D16" s="64"/>
      <c r="E16" s="64"/>
      <c r="F16" s="64"/>
    </row>
    <row r="17" customFormat="false" ht="30" hidden="false" customHeight="true" outlineLevel="0" collapsed="false">
      <c r="A17" s="65" t="s">
        <v>325</v>
      </c>
      <c r="B17" s="65" t="s">
        <v>326</v>
      </c>
      <c r="C17" s="65" t="s">
        <v>327</v>
      </c>
      <c r="D17" s="65" t="s">
        <v>328</v>
      </c>
      <c r="E17" s="65" t="s">
        <v>329</v>
      </c>
      <c r="F17" s="65" t="s">
        <v>330</v>
      </c>
    </row>
    <row r="18" customFormat="false" ht="15" hidden="false" customHeight="false" outlineLevel="0" collapsed="false">
      <c r="A18" s="105" t="s">
        <v>331</v>
      </c>
      <c r="B18" s="129" t="n">
        <f aca="false">'College Inputs'!B86</f>
        <v>5</v>
      </c>
      <c r="C18" s="129" t="n">
        <f aca="false">'College Inputs'!C86</f>
        <v>10</v>
      </c>
      <c r="D18" s="129" t="n">
        <f aca="false">'College Inputs'!D86</f>
        <v>15</v>
      </c>
      <c r="E18" s="129" t="n">
        <f aca="false">'College Inputs'!E86</f>
        <v>15</v>
      </c>
      <c r="F18" s="129" t="n">
        <f aca="false">'College Inputs'!F86</f>
        <v>15</v>
      </c>
    </row>
    <row r="19" customFormat="false" ht="15" hidden="false" customHeight="false" outlineLevel="0" collapsed="false">
      <c r="A19" s="105" t="s">
        <v>332</v>
      </c>
      <c r="B19" s="126" t="n">
        <f aca="false">0</f>
        <v>0</v>
      </c>
      <c r="C19" s="126" t="n">
        <f aca="false">ROUND(B20*'College Inputs'!$B$56,0)</f>
        <v>4</v>
      </c>
      <c r="D19" s="126" t="n">
        <f aca="false">ROUND(C20*'College Inputs'!$B$56,0)</f>
        <v>12</v>
      </c>
      <c r="E19" s="126" t="n">
        <f aca="false">ROUND(D20*'College Inputs'!$B$56,0)</f>
        <v>23</v>
      </c>
      <c r="F19" s="126" t="n">
        <f aca="false">ROUND(E20*'College Inputs'!$B$56,0)</f>
        <v>32</v>
      </c>
    </row>
    <row r="20" customFormat="false" ht="15" hidden="false" customHeight="false" outlineLevel="0" collapsed="false">
      <c r="A20" s="105" t="s">
        <v>333</v>
      </c>
      <c r="B20" s="126" t="n">
        <f aca="false">MIN('College Inputs'!$B$57,B18+B19)</f>
        <v>5</v>
      </c>
      <c r="C20" s="126" t="n">
        <f aca="false">MIN('College Inputs'!$B$57,C18+C19)</f>
        <v>14</v>
      </c>
      <c r="D20" s="126" t="n">
        <f aca="false">MIN('College Inputs'!$B$57,D18+D19)</f>
        <v>27</v>
      </c>
      <c r="E20" s="126" t="n">
        <f aca="false">MIN('College Inputs'!$B$57,E18+E19)</f>
        <v>38</v>
      </c>
      <c r="F20" s="126" t="n">
        <f aca="false">MIN('College Inputs'!$B$57,F18+F19)</f>
        <v>47</v>
      </c>
    </row>
    <row r="21" customFormat="false" ht="15" hidden="false" customHeight="false" outlineLevel="0" collapsed="false">
      <c r="A21" s="105" t="s">
        <v>334</v>
      </c>
      <c r="B21" s="130" t="n">
        <f aca="false">1</f>
        <v>1</v>
      </c>
      <c r="C21" s="130" t="n">
        <f aca="false">B21*(1+'College Inputs'!$B$47)</f>
        <v>1.07</v>
      </c>
      <c r="D21" s="130" t="n">
        <f aca="false">C21*(1+'College Inputs'!$B$47)</f>
        <v>1.1449</v>
      </c>
      <c r="E21" s="130" t="n">
        <f aca="false">D21*(1+'College Inputs'!$B$47)</f>
        <v>1.225043</v>
      </c>
      <c r="F21" s="130" t="n">
        <f aca="false">E21*(1+'College Inputs'!$B$47)</f>
        <v>1.31079601</v>
      </c>
    </row>
    <row r="22" customFormat="false" ht="15" hidden="false" customHeight="false" outlineLevel="0" collapsed="false">
      <c r="A22" s="105" t="s">
        <v>335</v>
      </c>
      <c r="B22" s="97" t="n">
        <f aca="false">'College Inputs'!$B$58*SUMPRODUCT('College Inputs'!$B$68:$B$71,'College Inputs'!$H$6:$H$9)*(1-'College Inputs'!$B$59)*B21</f>
        <v>147400</v>
      </c>
      <c r="C22" s="97" t="n">
        <f aca="false">'College Inputs'!$B$58*SUMPRODUCT('College Inputs'!$B$68:$B$71,'College Inputs'!$H$6:$H$9)*(1-'College Inputs'!$B$59)*C21</f>
        <v>157718</v>
      </c>
      <c r="D22" s="97" t="n">
        <f aca="false">'College Inputs'!$B$58*SUMPRODUCT('College Inputs'!$B$68:$B$71,'College Inputs'!$H$6:$H$9)*(1-'College Inputs'!$B$59)*D21</f>
        <v>168758.26</v>
      </c>
      <c r="E22" s="97" t="n">
        <f aca="false">'College Inputs'!$B$58*SUMPRODUCT('College Inputs'!$B$68:$B$71,'College Inputs'!$H$6:$H$9)*(1-'College Inputs'!$B$59)*E21</f>
        <v>180571.3382</v>
      </c>
      <c r="F22" s="97" t="n">
        <f aca="false">'College Inputs'!$B$58*SUMPRODUCT('College Inputs'!$B$68:$B$71,'College Inputs'!$H$6:$H$9)*(1-'College Inputs'!$B$59)*F21</f>
        <v>193211.331874</v>
      </c>
    </row>
    <row r="23" customFormat="false" ht="15" hidden="false" customHeight="false" outlineLevel="0" collapsed="false">
      <c r="A23" s="105" t="s">
        <v>336</v>
      </c>
      <c r="B23" s="97" t="n">
        <f aca="false">'College Inputs'!$B$60*B21</f>
        <v>9000</v>
      </c>
      <c r="C23" s="97" t="n">
        <f aca="false">'College Inputs'!$B$60*C21</f>
        <v>9630</v>
      </c>
      <c r="D23" s="97" t="n">
        <f aca="false">'College Inputs'!$B$60*D21</f>
        <v>10304.1</v>
      </c>
      <c r="E23" s="97" t="n">
        <f aca="false">'College Inputs'!$B$60*E21</f>
        <v>11025.387</v>
      </c>
      <c r="F23" s="97" t="n">
        <f aca="false">'College Inputs'!$B$60*F21</f>
        <v>11797.16409</v>
      </c>
    </row>
    <row r="24" customFormat="false" ht="15" hidden="false" customHeight="false" outlineLevel="0" collapsed="false">
      <c r="A24" s="105" t="s">
        <v>337</v>
      </c>
      <c r="B24" s="97" t="n">
        <f aca="false">SUMPRODUCT('College Inputs'!$B$75:$B$79,'College Inputs'!$D$22:$D$26)*B21</f>
        <v>45200</v>
      </c>
      <c r="C24" s="97" t="n">
        <f aca="false">SUMPRODUCT('College Inputs'!$B$75:$B$79,'College Inputs'!$D$22:$D$26)*C21</f>
        <v>48364</v>
      </c>
      <c r="D24" s="97" t="n">
        <f aca="false">SUMPRODUCT('College Inputs'!$B$75:$B$79,'College Inputs'!$D$22:$D$26)*D21</f>
        <v>51749.48</v>
      </c>
      <c r="E24" s="97" t="n">
        <f aca="false">SUMPRODUCT('College Inputs'!$B$75:$B$79,'College Inputs'!$D$22:$D$26)*E21</f>
        <v>55371.9436</v>
      </c>
      <c r="F24" s="97" t="n">
        <f aca="false">SUMPRODUCT('College Inputs'!$B$75:$B$79,'College Inputs'!$D$22:$D$26)*F21</f>
        <v>59247.979652</v>
      </c>
    </row>
    <row r="25" customFormat="false" ht="15" hidden="false" customHeight="false" outlineLevel="0" collapsed="false">
      <c r="A25" s="105" t="s">
        <v>338</v>
      </c>
      <c r="B25" s="131" t="n">
        <f aca="false">'College Inputs'!B83</f>
        <v>0.25</v>
      </c>
      <c r="C25" s="131" t="n">
        <f aca="false">'College Inputs'!C83</f>
        <v>0.18</v>
      </c>
      <c r="D25" s="131" t="n">
        <f aca="false">'College Inputs'!D83</f>
        <v>0.12</v>
      </c>
      <c r="E25" s="131" t="n">
        <f aca="false">'College Inputs'!E83</f>
        <v>0.1</v>
      </c>
      <c r="F25" s="131" t="n">
        <f aca="false">'College Inputs'!F83</f>
        <v>0.1</v>
      </c>
    </row>
    <row r="26" customFormat="false" ht="15" hidden="false" customHeight="false" outlineLevel="0" collapsed="false">
      <c r="A26" s="105" t="s">
        <v>339</v>
      </c>
      <c r="B26" s="127" t="n">
        <f aca="false">B20*(B22+B23)*(1-B25)/100000</f>
        <v>5.865</v>
      </c>
      <c r="C26" s="127" t="n">
        <f aca="false">C20*(C22+C23)*(1-C25)/100000</f>
        <v>19.2115504</v>
      </c>
      <c r="D26" s="127" t="n">
        <f aca="false">D20*(D22+D23)*(1-D25)/100000</f>
        <v>42.545216736</v>
      </c>
      <c r="E26" s="127" t="n">
        <f aca="false">E20*(E22+E23)*(1-E25)/100000</f>
        <v>65.5260800184</v>
      </c>
      <c r="F26" s="127" t="n">
        <f aca="false">F20*(F22+F23)*(1-F25)/100000</f>
        <v>86.718593792772</v>
      </c>
    </row>
    <row r="27" customFormat="false" ht="15" hidden="false" customHeight="false" outlineLevel="0" collapsed="false">
      <c r="A27" s="105" t="s">
        <v>340</v>
      </c>
      <c r="B27" s="127" t="n">
        <f aca="false">B20*'College Inputs'!$B$61*B24*(1-B25)/100000</f>
        <v>0.678</v>
      </c>
      <c r="C27" s="127" t="n">
        <f aca="false">C20*'College Inputs'!$B$61*C24*(1-C25)/100000</f>
        <v>2.22087488</v>
      </c>
      <c r="D27" s="127" t="n">
        <f aca="false">D20*'College Inputs'!$B$61*D24*(1-D25)/100000</f>
        <v>4.9182705792</v>
      </c>
      <c r="E27" s="127" t="n">
        <f aca="false">E20*'College Inputs'!$B$61*E24*(1-E25)/100000</f>
        <v>7.57488188448</v>
      </c>
      <c r="F27" s="127" t="n">
        <f aca="false">F20*'College Inputs'!$B$61*F24*(1-F25)/100000</f>
        <v>10.0247581571184</v>
      </c>
    </row>
    <row r="28" customFormat="false" ht="15" hidden="false" customHeight="false" outlineLevel="0" collapsed="false">
      <c r="A28" s="105" t="s">
        <v>341</v>
      </c>
      <c r="B28" s="127" t="n">
        <f aca="false">B20*'College Inputs'!$B$62*'College Inputs'!$B$32*B21*(1-B25)/100000</f>
        <v>0.45</v>
      </c>
      <c r="C28" s="127" t="n">
        <f aca="false">C20*'College Inputs'!$B$62*'College Inputs'!$B$32*C21*(1-C25)/100000</f>
        <v>1.474032</v>
      </c>
      <c r="D28" s="127" t="n">
        <f aca="false">D20*'College Inputs'!$B$62*'College Inputs'!$B$32*D21*(1-D25)/100000</f>
        <v>3.26433888</v>
      </c>
      <c r="E28" s="127" t="n">
        <f aca="false">E20*'College Inputs'!$B$62*'College Inputs'!$B$32*E21*(1-E25)/100000</f>
        <v>5.027576472</v>
      </c>
      <c r="F28" s="127" t="n">
        <f aca="false">F20*'College Inputs'!$B$62*'College Inputs'!$B$32*F21*(1-F25)/100000</f>
        <v>6.65360054676</v>
      </c>
    </row>
    <row r="29" customFormat="false" ht="15" hidden="false" customHeight="false" outlineLevel="0" collapsed="false">
      <c r="A29" s="105" t="s">
        <v>342</v>
      </c>
      <c r="B29" s="127" t="n">
        <f aca="false">B20*'College Inputs'!$B$63*'College Inputs'!$B$64*'College Inputs'!$B$17*B21*(1-B25)/100000</f>
        <v>0.135</v>
      </c>
      <c r="C29" s="127" t="n">
        <f aca="false">C20*'College Inputs'!$B$63*'College Inputs'!$B$64*'College Inputs'!$B$17*C21*(1-C25)/100000</f>
        <v>0.4422096</v>
      </c>
      <c r="D29" s="127" t="n">
        <f aca="false">D20*'College Inputs'!$B$63*'College Inputs'!$B$64*'College Inputs'!$B$17*D21*(1-D25)/100000</f>
        <v>0.979301664</v>
      </c>
      <c r="E29" s="127" t="n">
        <f aca="false">E20*'College Inputs'!$B$63*'College Inputs'!$B$64*'College Inputs'!$B$17*E21*(1-E25)/100000</f>
        <v>1.5082729416</v>
      </c>
      <c r="F29" s="127" t="n">
        <f aca="false">F20*'College Inputs'!$B$63*'College Inputs'!$B$64*'College Inputs'!$B$17*F21*(1-F25)/100000</f>
        <v>1.996080164028</v>
      </c>
    </row>
    <row r="30" customFormat="false" ht="15" hidden="false" customHeight="false" outlineLevel="0" collapsed="false">
      <c r="A30" s="105" t="s">
        <v>343</v>
      </c>
      <c r="B30" s="127" t="n">
        <f aca="false">B18*'College Inputs'!$B$65*'College Inputs'!$B$33/100000</f>
        <v>0.625</v>
      </c>
      <c r="C30" s="127" t="n">
        <f aca="false">C18*'College Inputs'!$B$65*'College Inputs'!$B$33/100000</f>
        <v>1.25</v>
      </c>
      <c r="D30" s="127" t="n">
        <f aca="false">D18*'College Inputs'!$B$65*'College Inputs'!$B$33/100000</f>
        <v>1.875</v>
      </c>
      <c r="E30" s="127" t="n">
        <f aca="false">E18*'College Inputs'!$B$65*'College Inputs'!$B$33/100000</f>
        <v>1.875</v>
      </c>
      <c r="F30" s="127" t="n">
        <f aca="false">F18*'College Inputs'!$B$65*'College Inputs'!$B$33/100000</f>
        <v>1.875</v>
      </c>
    </row>
    <row r="31" customFormat="false" ht="15" hidden="false" customHeight="false" outlineLevel="0" collapsed="false">
      <c r="A31" s="99" t="s">
        <v>344</v>
      </c>
      <c r="B31" s="132" t="n">
        <f aca="false">SUM(B26:B30)</f>
        <v>7.753</v>
      </c>
      <c r="C31" s="132" t="n">
        <f aca="false">SUM(C26:C30)</f>
        <v>24.59866688</v>
      </c>
      <c r="D31" s="132" t="n">
        <f aca="false">SUM(D26:D30)</f>
        <v>53.5821278592</v>
      </c>
      <c r="E31" s="132" t="n">
        <f aca="false">SUM(E26:E30)</f>
        <v>81.51181131648</v>
      </c>
      <c r="F31" s="132" t="n">
        <f aca="false">SUM(F26:F30)</f>
        <v>107.268032660678</v>
      </c>
    </row>
    <row r="32" customFormat="false" ht="15" hidden="false" customHeight="false" outlineLevel="0" collapsed="false">
      <c r="A32" s="105" t="s">
        <v>345</v>
      </c>
      <c r="B32" s="127" t="n">
        <f aca="false">B20*'College Inputs'!$B$58*SUMPRODUCT('College Inputs'!$B$68:$B$71,'College Inputs'!$J$6:$J$9)/100000</f>
        <v>2.00625</v>
      </c>
      <c r="C32" s="127" t="n">
        <f aca="false">C20*'College Inputs'!$B$58*SUMPRODUCT('College Inputs'!$B$68:$B$71,'College Inputs'!$J$6:$J$9)/100000</f>
        <v>5.6175</v>
      </c>
      <c r="D32" s="127" t="n">
        <f aca="false">D20*'College Inputs'!$B$58*SUMPRODUCT('College Inputs'!$B$68:$B$71,'College Inputs'!$J$6:$J$9)/100000</f>
        <v>10.83375</v>
      </c>
      <c r="E32" s="127" t="n">
        <f aca="false">E20*'College Inputs'!$B$58*SUMPRODUCT('College Inputs'!$B$68:$B$71,'College Inputs'!$J$6:$J$9)/100000</f>
        <v>15.2475</v>
      </c>
      <c r="F32" s="127" t="n">
        <f aca="false">F20*'College Inputs'!$B$58*SUMPRODUCT('College Inputs'!$B$68:$B$71,'College Inputs'!$J$6:$J$9)/100000</f>
        <v>18.85875</v>
      </c>
    </row>
    <row r="33" customFormat="false" ht="15" hidden="false" customHeight="false" outlineLevel="0" collapsed="false">
      <c r="A33" s="105" t="s">
        <v>346</v>
      </c>
      <c r="B33" s="127" t="n">
        <f aca="false">B20*('College Inputs'!$B$61*SUMPRODUCT('College Inputs'!$B$75:$B$79,'College Inputs'!$F$22:$F$26)+'College Inputs'!$B$62*'College Inputs'!$C$32+'College Inputs'!$B$63*'College Inputs'!$B$64*'College Inputs'!$C$17)/100000</f>
        <v>0.2988</v>
      </c>
      <c r="C33" s="127" t="n">
        <f aca="false">C20*('College Inputs'!$B$61*SUMPRODUCT('College Inputs'!$B$75:$B$79,'College Inputs'!$F$22:$F$26)+'College Inputs'!$B$62*'College Inputs'!$C$32+'College Inputs'!$B$63*'College Inputs'!$B$64*'College Inputs'!$C$17)/100000</f>
        <v>0.83664</v>
      </c>
      <c r="D33" s="127" t="n">
        <f aca="false">D20*('College Inputs'!$B$61*SUMPRODUCT('College Inputs'!$B$75:$B$79,'College Inputs'!$F$22:$F$26)+'College Inputs'!$B$62*'College Inputs'!$C$32+'College Inputs'!$B$63*'College Inputs'!$B$64*'College Inputs'!$C$17)/100000</f>
        <v>1.61352</v>
      </c>
      <c r="E33" s="127" t="n">
        <f aca="false">E20*('College Inputs'!$B$61*SUMPRODUCT('College Inputs'!$B$75:$B$79,'College Inputs'!$F$22:$F$26)+'College Inputs'!$B$62*'College Inputs'!$C$32+'College Inputs'!$B$63*'College Inputs'!$B$64*'College Inputs'!$C$17)/100000</f>
        <v>2.27088</v>
      </c>
      <c r="F33" s="127" t="n">
        <f aca="false">F20*('College Inputs'!$B$61*SUMPRODUCT('College Inputs'!$B$75:$B$79,'College Inputs'!$F$22:$F$26)+'College Inputs'!$B$62*'College Inputs'!$C$32+'College Inputs'!$B$63*'College Inputs'!$B$64*'College Inputs'!$C$17)/100000</f>
        <v>2.80872</v>
      </c>
    </row>
    <row r="34" customFormat="false" ht="15" hidden="false" customHeight="false" outlineLevel="0" collapsed="false">
      <c r="A34" s="105" t="s">
        <v>347</v>
      </c>
      <c r="B34" s="127" t="n">
        <f aca="false">B18*'College Inputs'!$C$33/100000</f>
        <v>0.75</v>
      </c>
      <c r="C34" s="127" t="n">
        <f aca="false">C18*'College Inputs'!$C$33/100000</f>
        <v>1.5</v>
      </c>
      <c r="D34" s="127" t="n">
        <f aca="false">D18*'College Inputs'!$C$33/100000</f>
        <v>2.25</v>
      </c>
      <c r="E34" s="127" t="n">
        <f aca="false">E18*'College Inputs'!$C$33/100000</f>
        <v>2.25</v>
      </c>
      <c r="F34" s="127" t="n">
        <f aca="false">F18*'College Inputs'!$C$33/100000</f>
        <v>2.25</v>
      </c>
    </row>
    <row r="35" customFormat="false" ht="15" hidden="false" customHeight="false" outlineLevel="0" collapsed="false">
      <c r="A35" s="105" t="s">
        <v>348</v>
      </c>
      <c r="B35" s="127" t="n">
        <f aca="false">B19*'College Inputs'!$C$34/100000</f>
        <v>0</v>
      </c>
      <c r="C35" s="127" t="n">
        <f aca="false">C19*'College Inputs'!$C$34/100000</f>
        <v>0.2</v>
      </c>
      <c r="D35" s="127" t="n">
        <f aca="false">D19*'College Inputs'!$C$34/100000</f>
        <v>0.6</v>
      </c>
      <c r="E35" s="127" t="n">
        <f aca="false">E19*'College Inputs'!$C$34/100000</f>
        <v>1.15</v>
      </c>
      <c r="F35" s="127" t="n">
        <f aca="false">F19*'College Inputs'!$C$34/100000</f>
        <v>1.6</v>
      </c>
    </row>
    <row r="36" customFormat="false" ht="15" hidden="false" customHeight="false" outlineLevel="0" collapsed="false">
      <c r="A36" s="99" t="s">
        <v>349</v>
      </c>
      <c r="B36" s="132" t="n">
        <f aca="false">B31-SUM(B32:B35)</f>
        <v>4.69795</v>
      </c>
      <c r="C36" s="132" t="n">
        <f aca="false">C31-SUM(C32:C35)</f>
        <v>16.44452688</v>
      </c>
      <c r="D36" s="132" t="n">
        <f aca="false">D31-SUM(D32:D35)</f>
        <v>38.2848578592</v>
      </c>
      <c r="E36" s="132" t="n">
        <f aca="false">E31-SUM(E32:E35)</f>
        <v>60.59343131648</v>
      </c>
      <c r="F36" s="132" t="n">
        <f aca="false">F31-SUM(F32:F35)</f>
        <v>81.7505626606784</v>
      </c>
    </row>
    <row r="37" customFormat="false" ht="15" hidden="false" customHeight="false" outlineLevel="0" collapsed="false">
      <c r="A37" s="105" t="s">
        <v>350</v>
      </c>
      <c r="B37" s="133" t="n">
        <f aca="false">IF(B31=0,0,B36/B31)</f>
        <v>0.605952534502773</v>
      </c>
      <c r="C37" s="133" t="n">
        <f aca="false">IF(C31=0,0,C36/C31)</f>
        <v>0.668512930404788</v>
      </c>
      <c r="D37" s="133" t="n">
        <f aca="false">IF(D31=0,0,D36/D31)</f>
        <v>0.714507978477501</v>
      </c>
      <c r="E37" s="133" t="n">
        <f aca="false">IF(E31=0,0,E36/E31)</f>
        <v>0.743369952622182</v>
      </c>
      <c r="F37" s="133" t="n">
        <f aca="false">IF(F31=0,0,F36/F31)</f>
        <v>0.762114869014895</v>
      </c>
    </row>
    <row r="38" customFormat="false" ht="15" hidden="false" customHeight="false" outlineLevel="0" collapsed="false">
      <c r="A38" s="105" t="s">
        <v>351</v>
      </c>
      <c r="B38" s="134" t="n">
        <f aca="false">'College Inputs'!$B$55/100000</f>
        <v>3</v>
      </c>
      <c r="C38" s="134" t="n">
        <f aca="false">'College Inputs'!$B$55/100000</f>
        <v>3</v>
      </c>
      <c r="D38" s="134" t="n">
        <f aca="false">'College Inputs'!$B$55/100000</f>
        <v>3</v>
      </c>
      <c r="E38" s="134" t="n">
        <f aca="false">'College Inputs'!$B$55/100000</f>
        <v>3</v>
      </c>
      <c r="F38" s="134" t="n">
        <f aca="false">'College Inputs'!$B$55/100000</f>
        <v>3</v>
      </c>
    </row>
    <row r="39" customFormat="false" ht="15" hidden="false" customHeight="false" outlineLevel="0" collapsed="false">
      <c r="A39" s="105" t="s">
        <v>352</v>
      </c>
      <c r="B39" s="127" t="n">
        <f aca="false">B36-B38</f>
        <v>1.69795</v>
      </c>
      <c r="C39" s="127" t="n">
        <f aca="false">C36-C38</f>
        <v>13.44452688</v>
      </c>
      <c r="D39" s="127" t="n">
        <f aca="false">D36-D38</f>
        <v>35.2848578592</v>
      </c>
      <c r="E39" s="127" t="n">
        <f aca="false">E36-E38</f>
        <v>57.59343131648</v>
      </c>
      <c r="F39" s="127" t="n">
        <f aca="false">F36-F38</f>
        <v>78.7505626606784</v>
      </c>
    </row>
    <row r="40" customFormat="false" ht="15" hidden="false" customHeight="false" outlineLevel="0" collapsed="false">
      <c r="A40" s="105" t="s">
        <v>353</v>
      </c>
      <c r="B40" s="127" t="n">
        <f aca="false">B39</f>
        <v>1.69795</v>
      </c>
      <c r="C40" s="127" t="n">
        <f aca="false">B40+C39</f>
        <v>15.14247688</v>
      </c>
      <c r="D40" s="127" t="n">
        <f aca="false">C40+D39</f>
        <v>50.4273347392</v>
      </c>
      <c r="E40" s="127" t="n">
        <f aca="false">D40+E39</f>
        <v>108.02076605568</v>
      </c>
      <c r="F40" s="127" t="n">
        <f aca="false">E40+F39</f>
        <v>186.771328716358</v>
      </c>
    </row>
    <row r="41" customFormat="false" ht="15" hidden="false" customHeight="false" outlineLevel="0" collapsed="false">
      <c r="A41" s="99" t="s">
        <v>354</v>
      </c>
      <c r="B41" s="132" t="n">
        <f aca="false">B40-'College Inputs'!$B$54/100000</f>
        <v>-8.30205</v>
      </c>
      <c r="C41" s="132" t="n">
        <f aca="false">C40-'College Inputs'!$B$54/100000</f>
        <v>5.14247688</v>
      </c>
      <c r="D41" s="132" t="n">
        <f aca="false">D40-'College Inputs'!$B$54/100000</f>
        <v>40.4273347392</v>
      </c>
      <c r="E41" s="132" t="n">
        <f aca="false">E40-'College Inputs'!$B$54/100000</f>
        <v>98.02076605568</v>
      </c>
      <c r="F41" s="132" t="n">
        <f aca="false">F40-'College Inputs'!$B$54/100000</f>
        <v>176.771328716358</v>
      </c>
    </row>
    <row r="44" customFormat="false" ht="21.75" hidden="false" customHeight="true" outlineLevel="0" collapsed="false">
      <c r="A44" s="64" t="s">
        <v>355</v>
      </c>
      <c r="B44" s="64"/>
      <c r="C44" s="64"/>
      <c r="D44" s="64"/>
      <c r="E44" s="64"/>
      <c r="F44" s="64"/>
    </row>
    <row r="45" customFormat="false" ht="30" hidden="false" customHeight="true" outlineLevel="0" collapsed="false">
      <c r="A45" s="65" t="s">
        <v>325</v>
      </c>
      <c r="B45" s="65" t="s">
        <v>326</v>
      </c>
      <c r="C45" s="65" t="s">
        <v>327</v>
      </c>
      <c r="D45" s="65" t="s">
        <v>328</v>
      </c>
      <c r="E45" s="65" t="s">
        <v>329</v>
      </c>
      <c r="F45" s="65" t="s">
        <v>330</v>
      </c>
    </row>
    <row r="46" customFormat="false" ht="15" hidden="false" customHeight="false" outlineLevel="0" collapsed="false">
      <c r="A46" s="105" t="s">
        <v>331</v>
      </c>
      <c r="B46" s="129" t="n">
        <f aca="false">'College Inputs'!B87</f>
        <v>10</v>
      </c>
      <c r="C46" s="129" t="n">
        <f aca="false">'College Inputs'!C87</f>
        <v>20</v>
      </c>
      <c r="D46" s="129" t="n">
        <f aca="false">'College Inputs'!D87</f>
        <v>30</v>
      </c>
      <c r="E46" s="129" t="n">
        <f aca="false">'College Inputs'!E87</f>
        <v>30</v>
      </c>
      <c r="F46" s="129" t="n">
        <f aca="false">'College Inputs'!F87</f>
        <v>30</v>
      </c>
    </row>
    <row r="47" customFormat="false" ht="15" hidden="false" customHeight="false" outlineLevel="0" collapsed="false">
      <c r="A47" s="105" t="s">
        <v>332</v>
      </c>
      <c r="B47" s="126" t="n">
        <f aca="false">0</f>
        <v>0</v>
      </c>
      <c r="C47" s="126" t="n">
        <f aca="false">ROUND(B48*'College Inputs'!$B$56,0)</f>
        <v>9</v>
      </c>
      <c r="D47" s="126" t="n">
        <f aca="false">ROUND(C48*'College Inputs'!$B$56,0)</f>
        <v>25</v>
      </c>
      <c r="E47" s="126" t="n">
        <f aca="false">ROUND(D48*'College Inputs'!$B$56,0)</f>
        <v>47</v>
      </c>
      <c r="F47" s="126" t="n">
        <f aca="false">ROUND(E48*'College Inputs'!$B$56,0)</f>
        <v>65</v>
      </c>
    </row>
    <row r="48" customFormat="false" ht="15" hidden="false" customHeight="false" outlineLevel="0" collapsed="false">
      <c r="A48" s="105" t="s">
        <v>333</v>
      </c>
      <c r="B48" s="126" t="n">
        <f aca="false">MIN('College Inputs'!$B$57,B46+B47)</f>
        <v>10</v>
      </c>
      <c r="C48" s="126" t="n">
        <f aca="false">MIN('College Inputs'!$B$57,C46+C47)</f>
        <v>29</v>
      </c>
      <c r="D48" s="126" t="n">
        <f aca="false">MIN('College Inputs'!$B$57,D46+D47)</f>
        <v>55</v>
      </c>
      <c r="E48" s="126" t="n">
        <f aca="false">MIN('College Inputs'!$B$57,E46+E47)</f>
        <v>77</v>
      </c>
      <c r="F48" s="126" t="n">
        <f aca="false">MIN('College Inputs'!$B$57,F46+F47)</f>
        <v>95</v>
      </c>
    </row>
    <row r="49" customFormat="false" ht="15" hidden="false" customHeight="false" outlineLevel="0" collapsed="false">
      <c r="A49" s="105" t="s">
        <v>334</v>
      </c>
      <c r="B49" s="130" t="n">
        <f aca="false">1</f>
        <v>1</v>
      </c>
      <c r="C49" s="130" t="n">
        <f aca="false">B49*(1+'College Inputs'!$B$47)</f>
        <v>1.07</v>
      </c>
      <c r="D49" s="130" t="n">
        <f aca="false">C49*(1+'College Inputs'!$B$47)</f>
        <v>1.1449</v>
      </c>
      <c r="E49" s="130" t="n">
        <f aca="false">D49*(1+'College Inputs'!$B$47)</f>
        <v>1.225043</v>
      </c>
      <c r="F49" s="130" t="n">
        <f aca="false">E49*(1+'College Inputs'!$B$47)</f>
        <v>1.31079601</v>
      </c>
    </row>
    <row r="50" customFormat="false" ht="15" hidden="false" customHeight="false" outlineLevel="0" collapsed="false">
      <c r="A50" s="105" t="s">
        <v>335</v>
      </c>
      <c r="B50" s="97" t="n">
        <f aca="false">'College Inputs'!$B$58*SUMPRODUCT('College Inputs'!$B$68:$B$71,'College Inputs'!$H$6:$H$9)*(1-'College Inputs'!$B$59)*B49</f>
        <v>147400</v>
      </c>
      <c r="C50" s="97" t="n">
        <f aca="false">'College Inputs'!$B$58*SUMPRODUCT('College Inputs'!$B$68:$B$71,'College Inputs'!$H$6:$H$9)*(1-'College Inputs'!$B$59)*C49</f>
        <v>157718</v>
      </c>
      <c r="D50" s="97" t="n">
        <f aca="false">'College Inputs'!$B$58*SUMPRODUCT('College Inputs'!$B$68:$B$71,'College Inputs'!$H$6:$H$9)*(1-'College Inputs'!$B$59)*D49</f>
        <v>168758.26</v>
      </c>
      <c r="E50" s="97" t="n">
        <f aca="false">'College Inputs'!$B$58*SUMPRODUCT('College Inputs'!$B$68:$B$71,'College Inputs'!$H$6:$H$9)*(1-'College Inputs'!$B$59)*E49</f>
        <v>180571.3382</v>
      </c>
      <c r="F50" s="97" t="n">
        <f aca="false">'College Inputs'!$B$58*SUMPRODUCT('College Inputs'!$B$68:$B$71,'College Inputs'!$H$6:$H$9)*(1-'College Inputs'!$B$59)*F49</f>
        <v>193211.331874</v>
      </c>
    </row>
    <row r="51" customFormat="false" ht="15" hidden="false" customHeight="false" outlineLevel="0" collapsed="false">
      <c r="A51" s="105" t="s">
        <v>336</v>
      </c>
      <c r="B51" s="97" t="n">
        <f aca="false">'College Inputs'!$B$60*B49</f>
        <v>9000</v>
      </c>
      <c r="C51" s="97" t="n">
        <f aca="false">'College Inputs'!$B$60*C49</f>
        <v>9630</v>
      </c>
      <c r="D51" s="97" t="n">
        <f aca="false">'College Inputs'!$B$60*D49</f>
        <v>10304.1</v>
      </c>
      <c r="E51" s="97" t="n">
        <f aca="false">'College Inputs'!$B$60*E49</f>
        <v>11025.387</v>
      </c>
      <c r="F51" s="97" t="n">
        <f aca="false">'College Inputs'!$B$60*F49</f>
        <v>11797.16409</v>
      </c>
    </row>
    <row r="52" customFormat="false" ht="15" hidden="false" customHeight="false" outlineLevel="0" collapsed="false">
      <c r="A52" s="105" t="s">
        <v>337</v>
      </c>
      <c r="B52" s="97" t="n">
        <f aca="false">SUMPRODUCT('College Inputs'!$B$75:$B$79,'College Inputs'!$D$22:$D$26)*B49</f>
        <v>45200</v>
      </c>
      <c r="C52" s="97" t="n">
        <f aca="false">SUMPRODUCT('College Inputs'!$B$75:$B$79,'College Inputs'!$D$22:$D$26)*C49</f>
        <v>48364</v>
      </c>
      <c r="D52" s="97" t="n">
        <f aca="false">SUMPRODUCT('College Inputs'!$B$75:$B$79,'College Inputs'!$D$22:$D$26)*D49</f>
        <v>51749.48</v>
      </c>
      <c r="E52" s="97" t="n">
        <f aca="false">SUMPRODUCT('College Inputs'!$B$75:$B$79,'College Inputs'!$D$22:$D$26)*E49</f>
        <v>55371.9436</v>
      </c>
      <c r="F52" s="97" t="n">
        <f aca="false">SUMPRODUCT('College Inputs'!$B$75:$B$79,'College Inputs'!$D$22:$D$26)*F49</f>
        <v>59247.979652</v>
      </c>
    </row>
    <row r="53" customFormat="false" ht="15" hidden="false" customHeight="false" outlineLevel="0" collapsed="false">
      <c r="A53" s="105" t="s">
        <v>338</v>
      </c>
      <c r="B53" s="131" t="n">
        <f aca="false">'College Inputs'!B83</f>
        <v>0.25</v>
      </c>
      <c r="C53" s="131" t="n">
        <f aca="false">'College Inputs'!C83</f>
        <v>0.18</v>
      </c>
      <c r="D53" s="131" t="n">
        <f aca="false">'College Inputs'!D83</f>
        <v>0.12</v>
      </c>
      <c r="E53" s="131" t="n">
        <f aca="false">'College Inputs'!E83</f>
        <v>0.1</v>
      </c>
      <c r="F53" s="131" t="n">
        <f aca="false">'College Inputs'!F83</f>
        <v>0.1</v>
      </c>
    </row>
    <row r="54" customFormat="false" ht="15" hidden="false" customHeight="false" outlineLevel="0" collapsed="false">
      <c r="A54" s="105" t="s">
        <v>339</v>
      </c>
      <c r="B54" s="127" t="n">
        <f aca="false">B48*(B50+B51)*(1-B53)/100000</f>
        <v>11.73</v>
      </c>
      <c r="C54" s="127" t="n">
        <f aca="false">C48*(C50+C51)*(1-C53)/100000</f>
        <v>39.7953544</v>
      </c>
      <c r="D54" s="127" t="n">
        <f aca="false">D48*(D50+D51)*(1-D53)/100000</f>
        <v>86.66618224</v>
      </c>
      <c r="E54" s="127" t="n">
        <f aca="false">E48*(E50+E51)*(1-E53)/100000</f>
        <v>132.7765305636</v>
      </c>
      <c r="F54" s="127" t="n">
        <f aca="false">F48*(F50+F51)*(1-F53)/100000</f>
        <v>175.28226404922</v>
      </c>
    </row>
    <row r="55" customFormat="false" ht="15" hidden="false" customHeight="false" outlineLevel="0" collapsed="false">
      <c r="A55" s="105" t="s">
        <v>340</v>
      </c>
      <c r="B55" s="127" t="n">
        <f aca="false">B48*'College Inputs'!$B$61*B52*(1-B53)/100000</f>
        <v>1.356</v>
      </c>
      <c r="C55" s="127" t="n">
        <f aca="false">C48*'College Inputs'!$B$61*C52*(1-C53)/100000</f>
        <v>4.60038368</v>
      </c>
      <c r="D55" s="127" t="n">
        <f aca="false">D48*'College Inputs'!$B$61*D52*(1-D53)/100000</f>
        <v>10.018699328</v>
      </c>
      <c r="E55" s="127" t="n">
        <f aca="false">E48*'College Inputs'!$B$61*E52*(1-E53)/100000</f>
        <v>15.34910276592</v>
      </c>
      <c r="F55" s="127" t="n">
        <f aca="false">F48*'College Inputs'!$B$61*F52*(1-F53)/100000</f>
        <v>20.262809040984</v>
      </c>
    </row>
    <row r="56" customFormat="false" ht="15" hidden="false" customHeight="false" outlineLevel="0" collapsed="false">
      <c r="A56" s="105" t="s">
        <v>341</v>
      </c>
      <c r="B56" s="127" t="n">
        <f aca="false">B48*'College Inputs'!$B$62*'College Inputs'!$B$32*B49*(1-B53)/100000</f>
        <v>0.9</v>
      </c>
      <c r="C56" s="127" t="n">
        <f aca="false">C48*'College Inputs'!$B$62*'College Inputs'!$B$32*C49*(1-C53)/100000</f>
        <v>3.053352</v>
      </c>
      <c r="D56" s="127" t="n">
        <f aca="false">D48*'College Inputs'!$B$62*'College Inputs'!$B$32*D49*(1-D53)/100000</f>
        <v>6.6495792</v>
      </c>
      <c r="E56" s="127" t="n">
        <f aca="false">E48*'College Inputs'!$B$62*'College Inputs'!$B$32*E49*(1-E53)/100000</f>
        <v>10.187457588</v>
      </c>
      <c r="F56" s="127" t="n">
        <f aca="false">F48*'College Inputs'!$B$62*'College Inputs'!$B$32*F49*(1-F53)/100000</f>
        <v>13.4487670626</v>
      </c>
    </row>
    <row r="57" customFormat="false" ht="15" hidden="false" customHeight="false" outlineLevel="0" collapsed="false">
      <c r="A57" s="105" t="s">
        <v>342</v>
      </c>
      <c r="B57" s="127" t="n">
        <f aca="false">B48*'College Inputs'!$B$63*'College Inputs'!$B$64*'College Inputs'!$B$17*B49*(1-B53)/100000</f>
        <v>0.27</v>
      </c>
      <c r="C57" s="127" t="n">
        <f aca="false">C48*'College Inputs'!$B$63*'College Inputs'!$B$64*'College Inputs'!$B$17*C49*(1-C53)/100000</f>
        <v>0.9160056</v>
      </c>
      <c r="D57" s="127" t="n">
        <f aca="false">D48*'College Inputs'!$B$63*'College Inputs'!$B$64*'College Inputs'!$B$17*D49*(1-D53)/100000</f>
        <v>1.99487376</v>
      </c>
      <c r="E57" s="127" t="n">
        <f aca="false">E48*'College Inputs'!$B$63*'College Inputs'!$B$64*'College Inputs'!$B$17*E49*(1-E53)/100000</f>
        <v>3.0562372764</v>
      </c>
      <c r="F57" s="127" t="n">
        <f aca="false">F48*'College Inputs'!$B$63*'College Inputs'!$B$64*'College Inputs'!$B$17*F49*(1-F53)/100000</f>
        <v>4.03463011878</v>
      </c>
    </row>
    <row r="58" customFormat="false" ht="15" hidden="false" customHeight="false" outlineLevel="0" collapsed="false">
      <c r="A58" s="105" t="s">
        <v>343</v>
      </c>
      <c r="B58" s="127" t="n">
        <f aca="false">B46*'College Inputs'!$B$65*'College Inputs'!$B$33/100000</f>
        <v>1.25</v>
      </c>
      <c r="C58" s="127" t="n">
        <f aca="false">C46*'College Inputs'!$B$65*'College Inputs'!$B$33/100000</f>
        <v>2.5</v>
      </c>
      <c r="D58" s="127" t="n">
        <f aca="false">D46*'College Inputs'!$B$65*'College Inputs'!$B$33/100000</f>
        <v>3.75</v>
      </c>
      <c r="E58" s="127" t="n">
        <f aca="false">E46*'College Inputs'!$B$65*'College Inputs'!$B$33/100000</f>
        <v>3.75</v>
      </c>
      <c r="F58" s="127" t="n">
        <f aca="false">F46*'College Inputs'!$B$65*'College Inputs'!$B$33/100000</f>
        <v>3.75</v>
      </c>
    </row>
    <row r="59" customFormat="false" ht="15" hidden="false" customHeight="false" outlineLevel="0" collapsed="false">
      <c r="A59" s="99" t="s">
        <v>344</v>
      </c>
      <c r="B59" s="132" t="n">
        <f aca="false">SUM(B54:B58)</f>
        <v>15.506</v>
      </c>
      <c r="C59" s="132" t="n">
        <f aca="false">SUM(C54:C58)</f>
        <v>50.86509568</v>
      </c>
      <c r="D59" s="132" t="n">
        <f aca="false">SUM(D54:D58)</f>
        <v>109.079334528</v>
      </c>
      <c r="E59" s="132" t="n">
        <f aca="false">SUM(E54:E58)</f>
        <v>165.11932819392</v>
      </c>
      <c r="F59" s="132" t="n">
        <f aca="false">SUM(F54:F58)</f>
        <v>216.778470271584</v>
      </c>
    </row>
    <row r="60" customFormat="false" ht="15" hidden="false" customHeight="false" outlineLevel="0" collapsed="false">
      <c r="A60" s="105" t="s">
        <v>345</v>
      </c>
      <c r="B60" s="127" t="n">
        <f aca="false">B48*'College Inputs'!$B$58*SUMPRODUCT('College Inputs'!$B$68:$B$71,'College Inputs'!$J$6:$J$9)/100000</f>
        <v>4.0125</v>
      </c>
      <c r="C60" s="127" t="n">
        <f aca="false">C48*'College Inputs'!$B$58*SUMPRODUCT('College Inputs'!$B$68:$B$71,'College Inputs'!$J$6:$J$9)/100000</f>
        <v>11.63625</v>
      </c>
      <c r="D60" s="127" t="n">
        <f aca="false">D48*'College Inputs'!$B$58*SUMPRODUCT('College Inputs'!$B$68:$B$71,'College Inputs'!$J$6:$J$9)/100000</f>
        <v>22.06875</v>
      </c>
      <c r="E60" s="127" t="n">
        <f aca="false">E48*'College Inputs'!$B$58*SUMPRODUCT('College Inputs'!$B$68:$B$71,'College Inputs'!$J$6:$J$9)/100000</f>
        <v>30.89625</v>
      </c>
      <c r="F60" s="127" t="n">
        <f aca="false">F48*'College Inputs'!$B$58*SUMPRODUCT('College Inputs'!$B$68:$B$71,'College Inputs'!$J$6:$J$9)/100000</f>
        <v>38.11875</v>
      </c>
    </row>
    <row r="61" customFormat="false" ht="15" hidden="false" customHeight="false" outlineLevel="0" collapsed="false">
      <c r="A61" s="105" t="s">
        <v>346</v>
      </c>
      <c r="B61" s="127" t="n">
        <f aca="false">B48*('College Inputs'!$B$61*SUMPRODUCT('College Inputs'!$B$75:$B$79,'College Inputs'!$F$22:$F$26)+'College Inputs'!$B$62*'College Inputs'!$C$32+'College Inputs'!$B$63*'College Inputs'!$B$64*'College Inputs'!$C$17)/100000</f>
        <v>0.5976</v>
      </c>
      <c r="C61" s="127" t="n">
        <f aca="false">C48*('College Inputs'!$B$61*SUMPRODUCT('College Inputs'!$B$75:$B$79,'College Inputs'!$F$22:$F$26)+'College Inputs'!$B$62*'College Inputs'!$C$32+'College Inputs'!$B$63*'College Inputs'!$B$64*'College Inputs'!$C$17)/100000</f>
        <v>1.73304</v>
      </c>
      <c r="D61" s="127" t="n">
        <f aca="false">D48*('College Inputs'!$B$61*SUMPRODUCT('College Inputs'!$B$75:$B$79,'College Inputs'!$F$22:$F$26)+'College Inputs'!$B$62*'College Inputs'!$C$32+'College Inputs'!$B$63*'College Inputs'!$B$64*'College Inputs'!$C$17)/100000</f>
        <v>3.2868</v>
      </c>
      <c r="E61" s="127" t="n">
        <f aca="false">E48*('College Inputs'!$B$61*SUMPRODUCT('College Inputs'!$B$75:$B$79,'College Inputs'!$F$22:$F$26)+'College Inputs'!$B$62*'College Inputs'!$C$32+'College Inputs'!$B$63*'College Inputs'!$B$64*'College Inputs'!$C$17)/100000</f>
        <v>4.60152</v>
      </c>
      <c r="F61" s="127" t="n">
        <f aca="false">F48*('College Inputs'!$B$61*SUMPRODUCT('College Inputs'!$B$75:$B$79,'College Inputs'!$F$22:$F$26)+'College Inputs'!$B$62*'College Inputs'!$C$32+'College Inputs'!$B$63*'College Inputs'!$B$64*'College Inputs'!$C$17)/100000</f>
        <v>5.6772</v>
      </c>
    </row>
    <row r="62" customFormat="false" ht="15" hidden="false" customHeight="false" outlineLevel="0" collapsed="false">
      <c r="A62" s="105" t="s">
        <v>347</v>
      </c>
      <c r="B62" s="127" t="n">
        <f aca="false">B46*'College Inputs'!$C$33/100000</f>
        <v>1.5</v>
      </c>
      <c r="C62" s="127" t="n">
        <f aca="false">C46*'College Inputs'!$C$33/100000</f>
        <v>3</v>
      </c>
      <c r="D62" s="127" t="n">
        <f aca="false">D46*'College Inputs'!$C$33/100000</f>
        <v>4.5</v>
      </c>
      <c r="E62" s="127" t="n">
        <f aca="false">E46*'College Inputs'!$C$33/100000</f>
        <v>4.5</v>
      </c>
      <c r="F62" s="127" t="n">
        <f aca="false">F46*'College Inputs'!$C$33/100000</f>
        <v>4.5</v>
      </c>
    </row>
    <row r="63" customFormat="false" ht="15" hidden="false" customHeight="false" outlineLevel="0" collapsed="false">
      <c r="A63" s="105" t="s">
        <v>348</v>
      </c>
      <c r="B63" s="127" t="n">
        <f aca="false">B47*'College Inputs'!$C$34/100000</f>
        <v>0</v>
      </c>
      <c r="C63" s="127" t="n">
        <f aca="false">C47*'College Inputs'!$C$34/100000</f>
        <v>0.45</v>
      </c>
      <c r="D63" s="127" t="n">
        <f aca="false">D47*'College Inputs'!$C$34/100000</f>
        <v>1.25</v>
      </c>
      <c r="E63" s="127" t="n">
        <f aca="false">E47*'College Inputs'!$C$34/100000</f>
        <v>2.35</v>
      </c>
      <c r="F63" s="127" t="n">
        <f aca="false">F47*'College Inputs'!$C$34/100000</f>
        <v>3.25</v>
      </c>
    </row>
    <row r="64" customFormat="false" ht="15" hidden="false" customHeight="false" outlineLevel="0" collapsed="false">
      <c r="A64" s="99" t="s">
        <v>349</v>
      </c>
      <c r="B64" s="132" t="n">
        <f aca="false">B59-SUM(B60:B63)</f>
        <v>9.3959</v>
      </c>
      <c r="C64" s="132" t="n">
        <f aca="false">C59-SUM(C60:C63)</f>
        <v>34.04580568</v>
      </c>
      <c r="D64" s="132" t="n">
        <f aca="false">D59-SUM(D60:D63)</f>
        <v>77.973784528</v>
      </c>
      <c r="E64" s="132" t="n">
        <f aca="false">E59-SUM(E60:E63)</f>
        <v>122.77155819392</v>
      </c>
      <c r="F64" s="132" t="n">
        <f aca="false">F59-SUM(F60:F63)</f>
        <v>165.232520271584</v>
      </c>
    </row>
    <row r="65" customFormat="false" ht="15" hidden="false" customHeight="false" outlineLevel="0" collapsed="false">
      <c r="A65" s="105" t="s">
        <v>350</v>
      </c>
      <c r="B65" s="133" t="n">
        <f aca="false">IF(B59=0,0,B64/B59)</f>
        <v>0.605952534502773</v>
      </c>
      <c r="C65" s="133" t="n">
        <f aca="false">IF(C59=0,0,C64/C59)</f>
        <v>0.669335331524535</v>
      </c>
      <c r="D65" s="133" t="n">
        <f aca="false">IF(D59=0,0,D64/D59)</f>
        <v>0.714835535671375</v>
      </c>
      <c r="E65" s="133" t="n">
        <f aca="false">IF(E59=0,0,E64/E59)</f>
        <v>0.743532326207954</v>
      </c>
      <c r="F65" s="133" t="n">
        <f aca="false">IF(F59=0,0,F64/F59)</f>
        <v>0.762218314690466</v>
      </c>
    </row>
    <row r="66" customFormat="false" ht="15" hidden="false" customHeight="false" outlineLevel="0" collapsed="false">
      <c r="A66" s="105" t="s">
        <v>351</v>
      </c>
      <c r="B66" s="134" t="n">
        <f aca="false">'College Inputs'!$B$55/100000</f>
        <v>3</v>
      </c>
      <c r="C66" s="134" t="n">
        <f aca="false">'College Inputs'!$B$55/100000</f>
        <v>3</v>
      </c>
      <c r="D66" s="134" t="n">
        <f aca="false">'College Inputs'!$B$55/100000</f>
        <v>3</v>
      </c>
      <c r="E66" s="134" t="n">
        <f aca="false">'College Inputs'!$B$55/100000</f>
        <v>3</v>
      </c>
      <c r="F66" s="134" t="n">
        <f aca="false">'College Inputs'!$B$55/100000</f>
        <v>3</v>
      </c>
    </row>
    <row r="67" customFormat="false" ht="15" hidden="false" customHeight="false" outlineLevel="0" collapsed="false">
      <c r="A67" s="105" t="s">
        <v>352</v>
      </c>
      <c r="B67" s="127" t="n">
        <f aca="false">B64-B66</f>
        <v>6.3959</v>
      </c>
      <c r="C67" s="127" t="n">
        <f aca="false">C64-C66</f>
        <v>31.04580568</v>
      </c>
      <c r="D67" s="127" t="n">
        <f aca="false">D64-D66</f>
        <v>74.973784528</v>
      </c>
      <c r="E67" s="127" t="n">
        <f aca="false">E64-E66</f>
        <v>119.77155819392</v>
      </c>
      <c r="F67" s="127" t="n">
        <f aca="false">F64-F66</f>
        <v>162.232520271584</v>
      </c>
    </row>
    <row r="68" customFormat="false" ht="15" hidden="false" customHeight="false" outlineLevel="0" collapsed="false">
      <c r="A68" s="105" t="s">
        <v>353</v>
      </c>
      <c r="B68" s="127" t="n">
        <f aca="false">B67</f>
        <v>6.3959</v>
      </c>
      <c r="C68" s="127" t="n">
        <f aca="false">B68+C67</f>
        <v>37.44170568</v>
      </c>
      <c r="D68" s="127" t="n">
        <f aca="false">C68+D67</f>
        <v>112.415490208</v>
      </c>
      <c r="E68" s="127" t="n">
        <f aca="false">D68+E67</f>
        <v>232.18704840192</v>
      </c>
      <c r="F68" s="127" t="n">
        <f aca="false">E68+F67</f>
        <v>394.419568673504</v>
      </c>
    </row>
    <row r="69" customFormat="false" ht="15" hidden="false" customHeight="false" outlineLevel="0" collapsed="false">
      <c r="A69" s="99" t="s">
        <v>354</v>
      </c>
      <c r="B69" s="132" t="n">
        <f aca="false">B68-'College Inputs'!$B$54/100000</f>
        <v>-3.6041</v>
      </c>
      <c r="C69" s="132" t="n">
        <f aca="false">C68-'College Inputs'!$B$54/100000</f>
        <v>27.44170568</v>
      </c>
      <c r="D69" s="132" t="n">
        <f aca="false">D68-'College Inputs'!$B$54/100000</f>
        <v>102.415490208</v>
      </c>
      <c r="E69" s="132" t="n">
        <f aca="false">E68-'College Inputs'!$B$54/100000</f>
        <v>222.18704840192</v>
      </c>
      <c r="F69" s="132" t="n">
        <f aca="false">F68-'College Inputs'!$B$54/100000</f>
        <v>384.419568673504</v>
      </c>
    </row>
    <row r="72" customFormat="false" ht="21.75" hidden="false" customHeight="true" outlineLevel="0" collapsed="false">
      <c r="A72" s="64" t="s">
        <v>356</v>
      </c>
      <c r="B72" s="64"/>
      <c r="C72" s="64"/>
      <c r="D72" s="64"/>
      <c r="E72" s="64"/>
      <c r="F72" s="64"/>
    </row>
    <row r="73" customFormat="false" ht="30" hidden="false" customHeight="true" outlineLevel="0" collapsed="false">
      <c r="A73" s="65" t="s">
        <v>325</v>
      </c>
      <c r="B73" s="65" t="s">
        <v>326</v>
      </c>
      <c r="C73" s="65" t="s">
        <v>327</v>
      </c>
      <c r="D73" s="65" t="s">
        <v>328</v>
      </c>
      <c r="E73" s="65" t="s">
        <v>329</v>
      </c>
      <c r="F73" s="65" t="s">
        <v>330</v>
      </c>
    </row>
    <row r="74" customFormat="false" ht="15" hidden="false" customHeight="false" outlineLevel="0" collapsed="false">
      <c r="A74" s="105" t="s">
        <v>331</v>
      </c>
      <c r="B74" s="129" t="n">
        <f aca="false">'College Inputs'!B88</f>
        <v>20</v>
      </c>
      <c r="C74" s="129" t="n">
        <f aca="false">'College Inputs'!C88</f>
        <v>35</v>
      </c>
      <c r="D74" s="129" t="n">
        <f aca="false">'College Inputs'!D88</f>
        <v>50</v>
      </c>
      <c r="E74" s="129" t="n">
        <f aca="false">'College Inputs'!E88</f>
        <v>50</v>
      </c>
      <c r="F74" s="129" t="n">
        <f aca="false">'College Inputs'!F88</f>
        <v>50</v>
      </c>
    </row>
    <row r="75" customFormat="false" ht="15" hidden="false" customHeight="false" outlineLevel="0" collapsed="false">
      <c r="A75" s="105" t="s">
        <v>332</v>
      </c>
      <c r="B75" s="126" t="n">
        <f aca="false">0</f>
        <v>0</v>
      </c>
      <c r="C75" s="126" t="n">
        <f aca="false">ROUND(B76*'College Inputs'!$B$56,0)</f>
        <v>17</v>
      </c>
      <c r="D75" s="126" t="n">
        <f aca="false">ROUND(C76*'College Inputs'!$B$56,0)</f>
        <v>44</v>
      </c>
      <c r="E75" s="126" t="n">
        <f aca="false">ROUND(D76*'College Inputs'!$B$56,0)</f>
        <v>80</v>
      </c>
      <c r="F75" s="126" t="n">
        <f aca="false">ROUND(E76*'College Inputs'!$B$56,0)</f>
        <v>111</v>
      </c>
    </row>
    <row r="76" customFormat="false" ht="15" hidden="false" customHeight="false" outlineLevel="0" collapsed="false">
      <c r="A76" s="105" t="s">
        <v>333</v>
      </c>
      <c r="B76" s="126" t="n">
        <f aca="false">MIN('College Inputs'!$B$57,B74+B75)</f>
        <v>20</v>
      </c>
      <c r="C76" s="126" t="n">
        <f aca="false">MIN('College Inputs'!$B$57,C74+C75)</f>
        <v>52</v>
      </c>
      <c r="D76" s="126" t="n">
        <f aca="false">MIN('College Inputs'!$B$57,D74+D75)</f>
        <v>94</v>
      </c>
      <c r="E76" s="126" t="n">
        <f aca="false">MIN('College Inputs'!$B$57,E74+E75)</f>
        <v>130</v>
      </c>
      <c r="F76" s="126" t="n">
        <f aca="false">MIN('College Inputs'!$B$57,F74+F75)</f>
        <v>161</v>
      </c>
    </row>
    <row r="77" customFormat="false" ht="15" hidden="false" customHeight="false" outlineLevel="0" collapsed="false">
      <c r="A77" s="105" t="s">
        <v>334</v>
      </c>
      <c r="B77" s="130" t="n">
        <f aca="false">1</f>
        <v>1</v>
      </c>
      <c r="C77" s="130" t="n">
        <f aca="false">B77*(1+'College Inputs'!$B$47)</f>
        <v>1.07</v>
      </c>
      <c r="D77" s="130" t="n">
        <f aca="false">C77*(1+'College Inputs'!$B$47)</f>
        <v>1.1449</v>
      </c>
      <c r="E77" s="130" t="n">
        <f aca="false">D77*(1+'College Inputs'!$B$47)</f>
        <v>1.225043</v>
      </c>
      <c r="F77" s="130" t="n">
        <f aca="false">E77*(1+'College Inputs'!$B$47)</f>
        <v>1.31079601</v>
      </c>
    </row>
    <row r="78" customFormat="false" ht="15" hidden="false" customHeight="false" outlineLevel="0" collapsed="false">
      <c r="A78" s="105" t="s">
        <v>335</v>
      </c>
      <c r="B78" s="97" t="n">
        <f aca="false">'College Inputs'!$B$58*SUMPRODUCT('College Inputs'!$B$68:$B$71,'College Inputs'!$H$6:$H$9)*(1-'College Inputs'!$B$59)*B77</f>
        <v>147400</v>
      </c>
      <c r="C78" s="97" t="n">
        <f aca="false">'College Inputs'!$B$58*SUMPRODUCT('College Inputs'!$B$68:$B$71,'College Inputs'!$H$6:$H$9)*(1-'College Inputs'!$B$59)*C77</f>
        <v>157718</v>
      </c>
      <c r="D78" s="97" t="n">
        <f aca="false">'College Inputs'!$B$58*SUMPRODUCT('College Inputs'!$B$68:$B$71,'College Inputs'!$H$6:$H$9)*(1-'College Inputs'!$B$59)*D77</f>
        <v>168758.26</v>
      </c>
      <c r="E78" s="97" t="n">
        <f aca="false">'College Inputs'!$B$58*SUMPRODUCT('College Inputs'!$B$68:$B$71,'College Inputs'!$H$6:$H$9)*(1-'College Inputs'!$B$59)*E77</f>
        <v>180571.3382</v>
      </c>
      <c r="F78" s="97" t="n">
        <f aca="false">'College Inputs'!$B$58*SUMPRODUCT('College Inputs'!$B$68:$B$71,'College Inputs'!$H$6:$H$9)*(1-'College Inputs'!$B$59)*F77</f>
        <v>193211.331874</v>
      </c>
    </row>
    <row r="79" customFormat="false" ht="15" hidden="false" customHeight="false" outlineLevel="0" collapsed="false">
      <c r="A79" s="105" t="s">
        <v>336</v>
      </c>
      <c r="B79" s="97" t="n">
        <f aca="false">'College Inputs'!$B$60*B77</f>
        <v>9000</v>
      </c>
      <c r="C79" s="97" t="n">
        <f aca="false">'College Inputs'!$B$60*C77</f>
        <v>9630</v>
      </c>
      <c r="D79" s="97" t="n">
        <f aca="false">'College Inputs'!$B$60*D77</f>
        <v>10304.1</v>
      </c>
      <c r="E79" s="97" t="n">
        <f aca="false">'College Inputs'!$B$60*E77</f>
        <v>11025.387</v>
      </c>
      <c r="F79" s="97" t="n">
        <f aca="false">'College Inputs'!$B$60*F77</f>
        <v>11797.16409</v>
      </c>
    </row>
    <row r="80" customFormat="false" ht="15" hidden="false" customHeight="false" outlineLevel="0" collapsed="false">
      <c r="A80" s="105" t="s">
        <v>337</v>
      </c>
      <c r="B80" s="97" t="n">
        <f aca="false">SUMPRODUCT('College Inputs'!$B$75:$B$79,'College Inputs'!$D$22:$D$26)*B77</f>
        <v>45200</v>
      </c>
      <c r="C80" s="97" t="n">
        <f aca="false">SUMPRODUCT('College Inputs'!$B$75:$B$79,'College Inputs'!$D$22:$D$26)*C77</f>
        <v>48364</v>
      </c>
      <c r="D80" s="97" t="n">
        <f aca="false">SUMPRODUCT('College Inputs'!$B$75:$B$79,'College Inputs'!$D$22:$D$26)*D77</f>
        <v>51749.48</v>
      </c>
      <c r="E80" s="97" t="n">
        <f aca="false">SUMPRODUCT('College Inputs'!$B$75:$B$79,'College Inputs'!$D$22:$D$26)*E77</f>
        <v>55371.9436</v>
      </c>
      <c r="F80" s="97" t="n">
        <f aca="false">SUMPRODUCT('College Inputs'!$B$75:$B$79,'College Inputs'!$D$22:$D$26)*F77</f>
        <v>59247.979652</v>
      </c>
    </row>
    <row r="81" customFormat="false" ht="15" hidden="false" customHeight="false" outlineLevel="0" collapsed="false">
      <c r="A81" s="105" t="s">
        <v>338</v>
      </c>
      <c r="B81" s="131" t="n">
        <f aca="false">'College Inputs'!B83</f>
        <v>0.25</v>
      </c>
      <c r="C81" s="131" t="n">
        <f aca="false">'College Inputs'!C83</f>
        <v>0.18</v>
      </c>
      <c r="D81" s="131" t="n">
        <f aca="false">'College Inputs'!D83</f>
        <v>0.12</v>
      </c>
      <c r="E81" s="131" t="n">
        <f aca="false">'College Inputs'!E83</f>
        <v>0.1</v>
      </c>
      <c r="F81" s="131" t="n">
        <f aca="false">'College Inputs'!F83</f>
        <v>0.1</v>
      </c>
    </row>
    <row r="82" customFormat="false" ht="15" hidden="false" customHeight="false" outlineLevel="0" collapsed="false">
      <c r="A82" s="105" t="s">
        <v>339</v>
      </c>
      <c r="B82" s="127" t="n">
        <f aca="false">B76*(B78+B79)*(1-B81)/100000</f>
        <v>23.46</v>
      </c>
      <c r="C82" s="127" t="n">
        <f aca="false">C76*(C78+C79)*(1-C81)/100000</f>
        <v>71.3571872</v>
      </c>
      <c r="D82" s="127" t="n">
        <f aca="false">D76*(D78+D79)*(1-D81)/100000</f>
        <v>148.120384192</v>
      </c>
      <c r="E82" s="127" t="n">
        <f aca="false">E76*(E78+E79)*(1-E81)/100000</f>
        <v>224.168168484</v>
      </c>
      <c r="F82" s="127" t="n">
        <f aca="false">F76*(F78+F79)*(1-F81)/100000</f>
        <v>297.057310651836</v>
      </c>
    </row>
    <row r="83" customFormat="false" ht="15" hidden="false" customHeight="false" outlineLevel="0" collapsed="false">
      <c r="A83" s="105" t="s">
        <v>340</v>
      </c>
      <c r="B83" s="127" t="n">
        <f aca="false">B76*'College Inputs'!$B$61*B80*(1-B81)/100000</f>
        <v>2.712</v>
      </c>
      <c r="C83" s="127" t="n">
        <f aca="false">C76*'College Inputs'!$B$61*C80*(1-C81)/100000</f>
        <v>8.24896384</v>
      </c>
      <c r="D83" s="127" t="n">
        <f aca="false">D76*'College Inputs'!$B$61*D80*(1-D81)/100000</f>
        <v>17.1228679424</v>
      </c>
      <c r="E83" s="127" t="n">
        <f aca="false">E76*'College Inputs'!$B$61*E80*(1-E81)/100000</f>
        <v>25.9140696048</v>
      </c>
      <c r="F83" s="127" t="n">
        <f aca="false">F76*'College Inputs'!$B$61*F80*(1-F81)/100000</f>
        <v>34.3401290062992</v>
      </c>
    </row>
    <row r="84" customFormat="false" ht="15" hidden="false" customHeight="false" outlineLevel="0" collapsed="false">
      <c r="A84" s="105" t="s">
        <v>341</v>
      </c>
      <c r="B84" s="127" t="n">
        <f aca="false">B76*'College Inputs'!$B$62*'College Inputs'!$B$32*B77*(1-B81)/100000</f>
        <v>1.8</v>
      </c>
      <c r="C84" s="127" t="n">
        <f aca="false">C76*'College Inputs'!$B$62*'College Inputs'!$B$32*C77*(1-C81)/100000</f>
        <v>5.474976</v>
      </c>
      <c r="D84" s="127" t="n">
        <f aca="false">D76*'College Inputs'!$B$62*'College Inputs'!$B$32*D77*(1-D81)/100000</f>
        <v>11.36473536</v>
      </c>
      <c r="E84" s="127" t="n">
        <f aca="false">E76*'College Inputs'!$B$62*'College Inputs'!$B$32*E77*(1-E81)/100000</f>
        <v>17.19960372</v>
      </c>
      <c r="F84" s="127" t="n">
        <f aca="false">F76*'College Inputs'!$B$62*'College Inputs'!$B$32*F77*(1-F81)/100000</f>
        <v>22.79212102188</v>
      </c>
    </row>
    <row r="85" customFormat="false" ht="15" hidden="false" customHeight="false" outlineLevel="0" collapsed="false">
      <c r="A85" s="105" t="s">
        <v>342</v>
      </c>
      <c r="B85" s="127" t="n">
        <f aca="false">B76*'College Inputs'!$B$63*'College Inputs'!$B$64*'College Inputs'!$B$17*B77*(1-B81)/100000</f>
        <v>0.54</v>
      </c>
      <c r="C85" s="127" t="n">
        <f aca="false">C76*'College Inputs'!$B$63*'College Inputs'!$B$64*'College Inputs'!$B$17*C77*(1-C81)/100000</f>
        <v>1.6424928</v>
      </c>
      <c r="D85" s="127" t="n">
        <f aca="false">D76*'College Inputs'!$B$63*'College Inputs'!$B$64*'College Inputs'!$B$17*D77*(1-D81)/100000</f>
        <v>3.409420608</v>
      </c>
      <c r="E85" s="127" t="n">
        <f aca="false">E76*'College Inputs'!$B$63*'College Inputs'!$B$64*'College Inputs'!$B$17*E77*(1-E81)/100000</f>
        <v>5.159881116</v>
      </c>
      <c r="F85" s="127" t="n">
        <f aca="false">F76*'College Inputs'!$B$63*'College Inputs'!$B$64*'College Inputs'!$B$17*F77*(1-F81)/100000</f>
        <v>6.837636306564</v>
      </c>
    </row>
    <row r="86" customFormat="false" ht="15" hidden="false" customHeight="false" outlineLevel="0" collapsed="false">
      <c r="A86" s="105" t="s">
        <v>343</v>
      </c>
      <c r="B86" s="127" t="n">
        <f aca="false">B74*'College Inputs'!$B$65*'College Inputs'!$B$33/100000</f>
        <v>2.5</v>
      </c>
      <c r="C86" s="127" t="n">
        <f aca="false">C74*'College Inputs'!$B$65*'College Inputs'!$B$33/100000</f>
        <v>4.375</v>
      </c>
      <c r="D86" s="127" t="n">
        <f aca="false">D74*'College Inputs'!$B$65*'College Inputs'!$B$33/100000</f>
        <v>6.25</v>
      </c>
      <c r="E86" s="127" t="n">
        <f aca="false">E74*'College Inputs'!$B$65*'College Inputs'!$B$33/100000</f>
        <v>6.25</v>
      </c>
      <c r="F86" s="127" t="n">
        <f aca="false">F74*'College Inputs'!$B$65*'College Inputs'!$B$33/100000</f>
        <v>6.25</v>
      </c>
    </row>
    <row r="87" customFormat="false" ht="15" hidden="false" customHeight="false" outlineLevel="0" collapsed="false">
      <c r="A87" s="99" t="s">
        <v>344</v>
      </c>
      <c r="B87" s="132" t="n">
        <f aca="false">SUM(B82:B86)</f>
        <v>31.012</v>
      </c>
      <c r="C87" s="132" t="n">
        <f aca="false">SUM(C82:C86)</f>
        <v>91.09861984</v>
      </c>
      <c r="D87" s="132" t="n">
        <f aca="false">SUM(D82:D86)</f>
        <v>186.2674081024</v>
      </c>
      <c r="E87" s="132" t="n">
        <f aca="false">SUM(E82:E86)</f>
        <v>278.6917229248</v>
      </c>
      <c r="F87" s="132" t="n">
        <f aca="false">SUM(F82:F86)</f>
        <v>367.277196986579</v>
      </c>
    </row>
    <row r="88" customFormat="false" ht="15" hidden="false" customHeight="false" outlineLevel="0" collapsed="false">
      <c r="A88" s="105" t="s">
        <v>345</v>
      </c>
      <c r="B88" s="127" t="n">
        <f aca="false">B76*'College Inputs'!$B$58*SUMPRODUCT('College Inputs'!$B$68:$B$71,'College Inputs'!$J$6:$J$9)/100000</f>
        <v>8.025</v>
      </c>
      <c r="C88" s="127" t="n">
        <f aca="false">C76*'College Inputs'!$B$58*SUMPRODUCT('College Inputs'!$B$68:$B$71,'College Inputs'!$J$6:$J$9)/100000</f>
        <v>20.865</v>
      </c>
      <c r="D88" s="127" t="n">
        <f aca="false">D76*'College Inputs'!$B$58*SUMPRODUCT('College Inputs'!$B$68:$B$71,'College Inputs'!$J$6:$J$9)/100000</f>
        <v>37.7175</v>
      </c>
      <c r="E88" s="127" t="n">
        <f aca="false">E76*'College Inputs'!$B$58*SUMPRODUCT('College Inputs'!$B$68:$B$71,'College Inputs'!$J$6:$J$9)/100000</f>
        <v>52.1625</v>
      </c>
      <c r="F88" s="127" t="n">
        <f aca="false">F76*'College Inputs'!$B$58*SUMPRODUCT('College Inputs'!$B$68:$B$71,'College Inputs'!$J$6:$J$9)/100000</f>
        <v>64.60125</v>
      </c>
    </row>
    <row r="89" customFormat="false" ht="15" hidden="false" customHeight="false" outlineLevel="0" collapsed="false">
      <c r="A89" s="105" t="s">
        <v>346</v>
      </c>
      <c r="B89" s="127" t="n">
        <f aca="false">B76*('College Inputs'!$B$61*SUMPRODUCT('College Inputs'!$B$75:$B$79,'College Inputs'!$F$22:$F$26)+'College Inputs'!$B$62*'College Inputs'!$C$32+'College Inputs'!$B$63*'College Inputs'!$B$64*'College Inputs'!$C$17)/100000</f>
        <v>1.1952</v>
      </c>
      <c r="C89" s="127" t="n">
        <f aca="false">C76*('College Inputs'!$B$61*SUMPRODUCT('College Inputs'!$B$75:$B$79,'College Inputs'!$F$22:$F$26)+'College Inputs'!$B$62*'College Inputs'!$C$32+'College Inputs'!$B$63*'College Inputs'!$B$64*'College Inputs'!$C$17)/100000</f>
        <v>3.10752</v>
      </c>
      <c r="D89" s="127" t="n">
        <f aca="false">D76*('College Inputs'!$B$61*SUMPRODUCT('College Inputs'!$B$75:$B$79,'College Inputs'!$F$22:$F$26)+'College Inputs'!$B$62*'College Inputs'!$C$32+'College Inputs'!$B$63*'College Inputs'!$B$64*'College Inputs'!$C$17)/100000</f>
        <v>5.61744</v>
      </c>
      <c r="E89" s="127" t="n">
        <f aca="false">E76*('College Inputs'!$B$61*SUMPRODUCT('College Inputs'!$B$75:$B$79,'College Inputs'!$F$22:$F$26)+'College Inputs'!$B$62*'College Inputs'!$C$32+'College Inputs'!$B$63*'College Inputs'!$B$64*'College Inputs'!$C$17)/100000</f>
        <v>7.7688</v>
      </c>
      <c r="F89" s="127" t="n">
        <f aca="false">F76*('College Inputs'!$B$61*SUMPRODUCT('College Inputs'!$B$75:$B$79,'College Inputs'!$F$22:$F$26)+'College Inputs'!$B$62*'College Inputs'!$C$32+'College Inputs'!$B$63*'College Inputs'!$B$64*'College Inputs'!$C$17)/100000</f>
        <v>9.62136</v>
      </c>
    </row>
    <row r="90" customFormat="false" ht="15" hidden="false" customHeight="false" outlineLevel="0" collapsed="false">
      <c r="A90" s="105" t="s">
        <v>347</v>
      </c>
      <c r="B90" s="127" t="n">
        <f aca="false">B74*'College Inputs'!$C$33/100000</f>
        <v>3</v>
      </c>
      <c r="C90" s="127" t="n">
        <f aca="false">C74*'College Inputs'!$C$33/100000</f>
        <v>5.25</v>
      </c>
      <c r="D90" s="127" t="n">
        <f aca="false">D74*'College Inputs'!$C$33/100000</f>
        <v>7.5</v>
      </c>
      <c r="E90" s="127" t="n">
        <f aca="false">E74*'College Inputs'!$C$33/100000</f>
        <v>7.5</v>
      </c>
      <c r="F90" s="127" t="n">
        <f aca="false">F74*'College Inputs'!$C$33/100000</f>
        <v>7.5</v>
      </c>
    </row>
    <row r="91" customFormat="false" ht="15" hidden="false" customHeight="false" outlineLevel="0" collapsed="false">
      <c r="A91" s="105" t="s">
        <v>348</v>
      </c>
      <c r="B91" s="127" t="n">
        <f aca="false">B75*'College Inputs'!$C$34/100000</f>
        <v>0</v>
      </c>
      <c r="C91" s="127" t="n">
        <f aca="false">C75*'College Inputs'!$C$34/100000</f>
        <v>0.85</v>
      </c>
      <c r="D91" s="127" t="n">
        <f aca="false">D75*'College Inputs'!$C$34/100000</f>
        <v>2.2</v>
      </c>
      <c r="E91" s="127" t="n">
        <f aca="false">E75*'College Inputs'!$C$34/100000</f>
        <v>4</v>
      </c>
      <c r="F91" s="127" t="n">
        <f aca="false">F75*'College Inputs'!$C$34/100000</f>
        <v>5.55</v>
      </c>
    </row>
    <row r="92" customFormat="false" ht="15" hidden="false" customHeight="false" outlineLevel="0" collapsed="false">
      <c r="A92" s="99" t="s">
        <v>349</v>
      </c>
      <c r="B92" s="132" t="n">
        <f aca="false">B87-SUM(B88:B91)</f>
        <v>18.7918</v>
      </c>
      <c r="C92" s="132" t="n">
        <f aca="false">C87-SUM(C88:C91)</f>
        <v>61.02609984</v>
      </c>
      <c r="D92" s="132" t="n">
        <f aca="false">D87-SUM(D88:D91)</f>
        <v>133.2324681024</v>
      </c>
      <c r="E92" s="132" t="n">
        <f aca="false">E87-SUM(E88:E91)</f>
        <v>207.2604229248</v>
      </c>
      <c r="F92" s="132" t="n">
        <f aca="false">F87-SUM(F88:F91)</f>
        <v>280.004586986579</v>
      </c>
    </row>
    <row r="93" customFormat="false" ht="15" hidden="false" customHeight="false" outlineLevel="0" collapsed="false">
      <c r="A93" s="105" t="s">
        <v>350</v>
      </c>
      <c r="B93" s="133" t="n">
        <f aca="false">IF(B87=0,0,B92/B87)</f>
        <v>0.605952534502773</v>
      </c>
      <c r="C93" s="133" t="n">
        <f aca="false">IF(C87=0,0,C92/C87)</f>
        <v>0.66989049831032</v>
      </c>
      <c r="D93" s="133" t="n">
        <f aca="false">IF(D87=0,0,D92/D87)</f>
        <v>0.715275256469751</v>
      </c>
      <c r="E93" s="133" t="n">
        <f aca="false">IF(E87=0,0,E92/E87)</f>
        <v>0.743690629738313</v>
      </c>
      <c r="F93" s="133" t="n">
        <f aca="false">IF(F87=0,0,F92/F87)</f>
        <v>0.762379448775882</v>
      </c>
    </row>
    <row r="94" customFormat="false" ht="15" hidden="false" customHeight="false" outlineLevel="0" collapsed="false">
      <c r="A94" s="105" t="s">
        <v>351</v>
      </c>
      <c r="B94" s="134" t="n">
        <f aca="false">'College Inputs'!$B$55/100000</f>
        <v>3</v>
      </c>
      <c r="C94" s="134" t="n">
        <f aca="false">'College Inputs'!$B$55/100000</f>
        <v>3</v>
      </c>
      <c r="D94" s="134" t="n">
        <f aca="false">'College Inputs'!$B$55/100000</f>
        <v>3</v>
      </c>
      <c r="E94" s="134" t="n">
        <f aca="false">'College Inputs'!$B$55/100000</f>
        <v>3</v>
      </c>
      <c r="F94" s="134" t="n">
        <f aca="false">'College Inputs'!$B$55/100000</f>
        <v>3</v>
      </c>
    </row>
    <row r="95" customFormat="false" ht="15" hidden="false" customHeight="false" outlineLevel="0" collapsed="false">
      <c r="A95" s="105" t="s">
        <v>352</v>
      </c>
      <c r="B95" s="127" t="n">
        <f aca="false">B92-B94</f>
        <v>15.7918</v>
      </c>
      <c r="C95" s="127" t="n">
        <f aca="false">C92-C94</f>
        <v>58.02609984</v>
      </c>
      <c r="D95" s="127" t="n">
        <f aca="false">D92-D94</f>
        <v>130.2324681024</v>
      </c>
      <c r="E95" s="127" t="n">
        <f aca="false">E92-E94</f>
        <v>204.2604229248</v>
      </c>
      <c r="F95" s="127" t="n">
        <f aca="false">F92-F94</f>
        <v>277.004586986579</v>
      </c>
    </row>
    <row r="96" customFormat="false" ht="15" hidden="false" customHeight="false" outlineLevel="0" collapsed="false">
      <c r="A96" s="105" t="s">
        <v>353</v>
      </c>
      <c r="B96" s="127" t="n">
        <f aca="false">B95</f>
        <v>15.7918</v>
      </c>
      <c r="C96" s="127" t="n">
        <f aca="false">B96+C95</f>
        <v>73.81789984</v>
      </c>
      <c r="D96" s="127" t="n">
        <f aca="false">C96+D95</f>
        <v>204.0503679424</v>
      </c>
      <c r="E96" s="127" t="n">
        <f aca="false">D96+E95</f>
        <v>408.3107908672</v>
      </c>
      <c r="F96" s="127" t="n">
        <f aca="false">E96+F95</f>
        <v>685.315377853779</v>
      </c>
    </row>
    <row r="97" customFormat="false" ht="15" hidden="false" customHeight="false" outlineLevel="0" collapsed="false">
      <c r="A97" s="99" t="s">
        <v>354</v>
      </c>
      <c r="B97" s="132" t="n">
        <f aca="false">B96-'College Inputs'!$B$54/100000</f>
        <v>5.7918</v>
      </c>
      <c r="C97" s="132" t="n">
        <f aca="false">C96-'College Inputs'!$B$54/100000</f>
        <v>63.81789984</v>
      </c>
      <c r="D97" s="132" t="n">
        <f aca="false">D96-'College Inputs'!$B$54/100000</f>
        <v>194.0503679424</v>
      </c>
      <c r="E97" s="132" t="n">
        <f aca="false">E96-'College Inputs'!$B$54/100000</f>
        <v>398.3107908672</v>
      </c>
      <c r="F97" s="132" t="n">
        <f aca="false">F96-'College Inputs'!$B$54/100000</f>
        <v>675.315377853779</v>
      </c>
    </row>
  </sheetData>
  <mergeCells count="6">
    <mergeCell ref="A1:H1"/>
    <mergeCell ref="A2:H2"/>
    <mergeCell ref="A4:H4"/>
    <mergeCell ref="A16:F16"/>
    <mergeCell ref="A44:F44"/>
    <mergeCell ref="A72:F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3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1" min="11" style="0" width="11"/>
    <col collapsed="false" customWidth="true" hidden="false" outlineLevel="0" max="12" min="12" style="0" width="44"/>
  </cols>
  <sheetData>
    <row r="1" customFormat="false" ht="31.5" hidden="false" customHeight="true" outlineLevel="0" collapsed="false">
      <c r="A1" s="40" t="s">
        <v>357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customFormat="false" ht="31.5" hidden="false" customHeight="true" outlineLevel="0" collapsed="false">
      <c r="A2" s="41" t="s">
        <v>358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4" customFormat="false" ht="21.75" hidden="false" customHeight="true" outlineLevel="0" collapsed="false">
      <c r="A4" s="64" t="s">
        <v>359</v>
      </c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customFormat="false" ht="39.75" hidden="false" customHeight="true" outlineLevel="0" collapsed="false">
      <c r="A5" s="65" t="s">
        <v>207</v>
      </c>
      <c r="B5" s="65" t="s">
        <v>65</v>
      </c>
      <c r="C5" s="65" t="s">
        <v>360</v>
      </c>
      <c r="D5" s="65" t="s">
        <v>361</v>
      </c>
      <c r="E5" s="65" t="s">
        <v>362</v>
      </c>
      <c r="F5" s="65" t="s">
        <v>74</v>
      </c>
      <c r="G5" s="65" t="s">
        <v>75</v>
      </c>
      <c r="H5" s="65" t="s">
        <v>363</v>
      </c>
      <c r="I5" s="65" t="s">
        <v>364</v>
      </c>
      <c r="J5" s="65" t="s">
        <v>365</v>
      </c>
      <c r="K5" s="65" t="s">
        <v>350</v>
      </c>
      <c r="L5" s="65" t="s">
        <v>366</v>
      </c>
    </row>
    <row r="6" customFormat="false" ht="30" hidden="false" customHeight="true" outlineLevel="0" collapsed="false">
      <c r="A6" s="85" t="s">
        <v>367</v>
      </c>
      <c r="B6" s="135" t="n">
        <v>3</v>
      </c>
      <c r="C6" s="135" t="n">
        <v>1</v>
      </c>
      <c r="D6" s="135" t="n">
        <v>9</v>
      </c>
      <c r="E6" s="135" t="n">
        <v>3</v>
      </c>
      <c r="F6" s="135" t="n">
        <v>1</v>
      </c>
      <c r="G6" s="135" t="n">
        <v>1</v>
      </c>
      <c r="H6" s="136" t="n">
        <v>50000</v>
      </c>
      <c r="I6" s="137" t="n">
        <v>1000</v>
      </c>
      <c r="J6" s="97" t="n">
        <f aca="false">I6*12</f>
        <v>12000</v>
      </c>
      <c r="K6" s="133" t="n">
        <f aca="false">IF(H6=0,0,(H6-J6)/H6)</f>
        <v>0.76</v>
      </c>
      <c r="L6" s="138" t="s">
        <v>368</v>
      </c>
    </row>
    <row r="7" customFormat="false" ht="15" hidden="false" customHeight="false" outlineLevel="0" collapsed="false">
      <c r="A7" s="85" t="s">
        <v>369</v>
      </c>
      <c r="B7" s="135" t="n">
        <v>4</v>
      </c>
      <c r="C7" s="135" t="n">
        <v>10</v>
      </c>
      <c r="D7" s="135" t="n">
        <v>12</v>
      </c>
      <c r="E7" s="135" t="n">
        <v>4</v>
      </c>
      <c r="F7" s="135" t="n">
        <v>2</v>
      </c>
      <c r="G7" s="135" t="n">
        <v>1</v>
      </c>
      <c r="H7" s="136" t="n">
        <v>60000</v>
      </c>
      <c r="I7" s="137" t="n">
        <v>1250</v>
      </c>
      <c r="J7" s="97" t="n">
        <f aca="false">I7*12</f>
        <v>15000</v>
      </c>
      <c r="K7" s="133" t="n">
        <f aca="false">IF(H7=0,0,(H7-J7)/H7)</f>
        <v>0.75</v>
      </c>
      <c r="L7" s="138"/>
    </row>
    <row r="8" customFormat="false" ht="15" hidden="false" customHeight="false" outlineLevel="0" collapsed="false">
      <c r="A8" s="85" t="s">
        <v>370</v>
      </c>
      <c r="B8" s="135" t="n">
        <v>6</v>
      </c>
      <c r="C8" s="135" t="n">
        <v>13</v>
      </c>
      <c r="D8" s="135" t="n">
        <v>18</v>
      </c>
      <c r="E8" s="135" t="n">
        <v>5</v>
      </c>
      <c r="F8" s="135" t="n">
        <v>3</v>
      </c>
      <c r="G8" s="135" t="n">
        <v>2</v>
      </c>
      <c r="H8" s="136" t="n">
        <v>80000</v>
      </c>
      <c r="I8" s="137" t="n">
        <v>1500</v>
      </c>
      <c r="J8" s="97" t="n">
        <f aca="false">I8*12</f>
        <v>18000</v>
      </c>
      <c r="K8" s="133" t="n">
        <f aca="false">IF(H8=0,0,(H8-J8)/H8)</f>
        <v>0.775</v>
      </c>
      <c r="L8" s="138"/>
    </row>
    <row r="9" customFormat="false" ht="15" hidden="false" customHeight="false" outlineLevel="0" collapsed="false">
      <c r="A9" s="85" t="s">
        <v>371</v>
      </c>
      <c r="B9" s="135" t="n">
        <v>8</v>
      </c>
      <c r="C9" s="135" t="n">
        <v>19</v>
      </c>
      <c r="D9" s="135" t="n">
        <v>24</v>
      </c>
      <c r="E9" s="135" t="n">
        <v>6</v>
      </c>
      <c r="F9" s="135" t="n">
        <v>4</v>
      </c>
      <c r="G9" s="135" t="n">
        <v>2</v>
      </c>
      <c r="H9" s="136" t="n">
        <v>100000</v>
      </c>
      <c r="I9" s="137" t="n">
        <v>2000</v>
      </c>
      <c r="J9" s="97" t="n">
        <f aca="false">I9*12</f>
        <v>24000</v>
      </c>
      <c r="K9" s="133" t="n">
        <f aca="false">IF(H9=0,0,(H9-J9)/H9)</f>
        <v>0.76</v>
      </c>
      <c r="L9" s="138"/>
    </row>
    <row r="11" customFormat="false" ht="21.75" hidden="false" customHeight="true" outlineLevel="0" collapsed="false">
      <c r="A11" s="64" t="s">
        <v>372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</row>
    <row r="12" customFormat="false" ht="30" hidden="false" customHeight="true" outlineLevel="0" collapsed="false">
      <c r="A12" s="65" t="s">
        <v>95</v>
      </c>
      <c r="B12" s="65" t="s">
        <v>373</v>
      </c>
      <c r="C12" s="65" t="s">
        <v>214</v>
      </c>
      <c r="D12" s="65" t="s">
        <v>366</v>
      </c>
      <c r="E12" s="65"/>
      <c r="F12" s="65"/>
      <c r="G12" s="65"/>
      <c r="H12" s="65"/>
      <c r="I12" s="65"/>
      <c r="J12" s="65"/>
      <c r="K12" s="65"/>
      <c r="L12" s="65"/>
    </row>
    <row r="13" customFormat="false" ht="15" hidden="false" customHeight="true" outlineLevel="0" collapsed="false">
      <c r="A13" s="85" t="s">
        <v>98</v>
      </c>
      <c r="B13" s="136" t="n">
        <v>3000</v>
      </c>
      <c r="C13" s="137" t="n">
        <v>300</v>
      </c>
      <c r="D13" s="87" t="s">
        <v>374</v>
      </c>
      <c r="E13" s="87"/>
      <c r="F13" s="87"/>
      <c r="G13" s="87"/>
      <c r="H13" s="87"/>
      <c r="I13" s="87"/>
      <c r="J13" s="87"/>
      <c r="K13" s="87"/>
      <c r="L13" s="87"/>
    </row>
    <row r="14" customFormat="false" ht="15" hidden="false" customHeight="true" outlineLevel="0" collapsed="false">
      <c r="A14" s="85" t="s">
        <v>100</v>
      </c>
      <c r="B14" s="136" t="n">
        <v>4000</v>
      </c>
      <c r="C14" s="137" t="n">
        <v>300</v>
      </c>
      <c r="D14" s="87" t="s">
        <v>375</v>
      </c>
      <c r="E14" s="87"/>
      <c r="F14" s="87"/>
      <c r="G14" s="87"/>
      <c r="H14" s="87"/>
      <c r="I14" s="87"/>
      <c r="J14" s="87"/>
      <c r="K14" s="87"/>
      <c r="L14" s="87"/>
    </row>
    <row r="15" customFormat="false" ht="15" hidden="false" customHeight="true" outlineLevel="0" collapsed="false">
      <c r="A15" s="85" t="s">
        <v>102</v>
      </c>
      <c r="B15" s="136" t="n">
        <v>5000</v>
      </c>
      <c r="C15" s="137" t="n">
        <v>300</v>
      </c>
      <c r="D15" s="87" t="s">
        <v>376</v>
      </c>
      <c r="E15" s="87"/>
      <c r="F15" s="87"/>
      <c r="G15" s="87"/>
      <c r="H15" s="87"/>
      <c r="I15" s="87"/>
      <c r="J15" s="87"/>
      <c r="K15" s="87"/>
      <c r="L15" s="87"/>
    </row>
    <row r="16" customFormat="false" ht="15" hidden="false" customHeight="true" outlineLevel="0" collapsed="false">
      <c r="A16" s="85" t="s">
        <v>377</v>
      </c>
      <c r="B16" s="136" t="n">
        <v>4000</v>
      </c>
      <c r="C16" s="137" t="n">
        <v>600</v>
      </c>
      <c r="D16" s="87" t="s">
        <v>378</v>
      </c>
      <c r="E16" s="87"/>
      <c r="F16" s="87"/>
      <c r="G16" s="87"/>
      <c r="H16" s="87"/>
      <c r="I16" s="87"/>
      <c r="J16" s="87"/>
      <c r="K16" s="87"/>
      <c r="L16" s="87"/>
    </row>
    <row r="17" customFormat="false" ht="15" hidden="false" customHeight="true" outlineLevel="0" collapsed="false">
      <c r="A17" s="85" t="s">
        <v>379</v>
      </c>
      <c r="B17" s="136" t="n">
        <v>6000</v>
      </c>
      <c r="C17" s="137" t="n">
        <v>1200</v>
      </c>
      <c r="D17" s="87" t="s">
        <v>380</v>
      </c>
      <c r="E17" s="87"/>
      <c r="F17" s="87"/>
      <c r="G17" s="87"/>
      <c r="H17" s="87"/>
      <c r="I17" s="87"/>
      <c r="J17" s="87"/>
      <c r="K17" s="87"/>
      <c r="L17" s="87"/>
    </row>
    <row r="18" customFormat="false" ht="15" hidden="false" customHeight="true" outlineLevel="0" collapsed="false">
      <c r="A18" s="85" t="s">
        <v>381</v>
      </c>
      <c r="B18" s="136" t="n">
        <v>0</v>
      </c>
      <c r="C18" s="139" t="n">
        <v>0</v>
      </c>
      <c r="D18" s="87" t="s">
        <v>382</v>
      </c>
      <c r="E18" s="87"/>
      <c r="F18" s="87"/>
      <c r="G18" s="87"/>
      <c r="H18" s="87"/>
      <c r="I18" s="87"/>
      <c r="J18" s="87"/>
      <c r="K18" s="87"/>
      <c r="L18" s="87"/>
    </row>
    <row r="20" customFormat="false" ht="21.75" hidden="false" customHeight="true" outlineLevel="0" collapsed="false">
      <c r="A20" s="64" t="s">
        <v>383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</row>
    <row r="21" customFormat="false" ht="30" hidden="false" customHeight="true" outlineLevel="0" collapsed="false">
      <c r="A21" s="65" t="s">
        <v>207</v>
      </c>
      <c r="B21" s="65" t="s">
        <v>384</v>
      </c>
      <c r="C21" s="65" t="s">
        <v>385</v>
      </c>
      <c r="D21" s="65" t="s">
        <v>386</v>
      </c>
      <c r="E21" s="65" t="s">
        <v>387</v>
      </c>
      <c r="F21" s="65" t="s">
        <v>214</v>
      </c>
      <c r="G21" s="65" t="s">
        <v>366</v>
      </c>
      <c r="H21" s="65"/>
      <c r="I21" s="65"/>
      <c r="J21" s="65"/>
      <c r="K21" s="65"/>
      <c r="L21" s="65"/>
    </row>
    <row r="22" customFormat="false" ht="15" hidden="false" customHeight="true" outlineLevel="0" collapsed="false">
      <c r="A22" s="85" t="s">
        <v>388</v>
      </c>
      <c r="B22" s="135" t="n">
        <v>1</v>
      </c>
      <c r="C22" s="135" t="n">
        <v>20</v>
      </c>
      <c r="D22" s="136" t="n">
        <v>15000</v>
      </c>
      <c r="E22" s="97" t="n">
        <f aca="false">D22/C22</f>
        <v>750</v>
      </c>
      <c r="F22" s="97" t="n">
        <f aca="false">C22*$B$28</f>
        <v>2400</v>
      </c>
      <c r="G22" s="87" t="s">
        <v>389</v>
      </c>
      <c r="H22" s="87"/>
      <c r="I22" s="87"/>
      <c r="J22" s="87"/>
      <c r="K22" s="87"/>
      <c r="L22" s="87"/>
    </row>
    <row r="23" customFormat="false" ht="15" hidden="false" customHeight="false" outlineLevel="0" collapsed="false">
      <c r="A23" s="85" t="s">
        <v>390</v>
      </c>
      <c r="B23" s="135" t="n">
        <v>21</v>
      </c>
      <c r="C23" s="135" t="n">
        <v>40</v>
      </c>
      <c r="D23" s="136" t="n">
        <v>28000</v>
      </c>
      <c r="E23" s="97" t="n">
        <f aca="false">D23/C23</f>
        <v>700</v>
      </c>
      <c r="F23" s="97" t="n">
        <f aca="false">C23*$B$28</f>
        <v>4800</v>
      </c>
      <c r="G23" s="87"/>
      <c r="H23" s="87"/>
      <c r="I23" s="87"/>
      <c r="J23" s="87"/>
      <c r="K23" s="87"/>
      <c r="L23" s="87"/>
    </row>
    <row r="24" customFormat="false" ht="15" hidden="false" customHeight="false" outlineLevel="0" collapsed="false">
      <c r="A24" s="85" t="s">
        <v>391</v>
      </c>
      <c r="B24" s="135" t="n">
        <v>41</v>
      </c>
      <c r="C24" s="135" t="n">
        <v>60</v>
      </c>
      <c r="D24" s="136" t="n">
        <v>40000</v>
      </c>
      <c r="E24" s="97" t="n">
        <f aca="false">D24/C24</f>
        <v>666.666666666667</v>
      </c>
      <c r="F24" s="97" t="n">
        <f aca="false">C24*$B$28</f>
        <v>7200</v>
      </c>
      <c r="G24" s="87"/>
      <c r="H24" s="87"/>
      <c r="I24" s="87"/>
      <c r="J24" s="87"/>
      <c r="K24" s="87"/>
      <c r="L24" s="87"/>
    </row>
    <row r="25" customFormat="false" ht="15" hidden="false" customHeight="false" outlineLevel="0" collapsed="false">
      <c r="A25" s="85" t="s">
        <v>392</v>
      </c>
      <c r="B25" s="135" t="n">
        <v>61</v>
      </c>
      <c r="C25" s="135" t="n">
        <v>80</v>
      </c>
      <c r="D25" s="136" t="n">
        <v>50000</v>
      </c>
      <c r="E25" s="97" t="n">
        <f aca="false">D25/C25</f>
        <v>625</v>
      </c>
      <c r="F25" s="97" t="n">
        <f aca="false">C25*$B$28</f>
        <v>9600</v>
      </c>
      <c r="G25" s="87"/>
      <c r="H25" s="87"/>
      <c r="I25" s="87"/>
      <c r="J25" s="87"/>
      <c r="K25" s="87"/>
      <c r="L25" s="87"/>
    </row>
    <row r="26" customFormat="false" ht="15" hidden="false" customHeight="false" outlineLevel="0" collapsed="false">
      <c r="A26" s="85" t="s">
        <v>393</v>
      </c>
      <c r="B26" s="135" t="n">
        <v>81</v>
      </c>
      <c r="C26" s="135" t="n">
        <v>100</v>
      </c>
      <c r="D26" s="136" t="n">
        <v>60000</v>
      </c>
      <c r="E26" s="97" t="n">
        <f aca="false">D26/C26</f>
        <v>600</v>
      </c>
      <c r="F26" s="97" t="n">
        <f aca="false">C26*$B$28</f>
        <v>12000</v>
      </c>
      <c r="G26" s="87"/>
      <c r="H26" s="87"/>
      <c r="I26" s="87"/>
      <c r="J26" s="87"/>
      <c r="K26" s="87"/>
      <c r="L26" s="87"/>
    </row>
    <row r="27" customFormat="false" ht="15" hidden="false" customHeight="true" outlineLevel="0" collapsed="false">
      <c r="A27" s="85" t="s">
        <v>394</v>
      </c>
      <c r="B27" s="136" t="n">
        <v>600</v>
      </c>
      <c r="C27" s="87" t="s">
        <v>395</v>
      </c>
      <c r="D27" s="87"/>
      <c r="E27" s="87"/>
      <c r="F27" s="87"/>
      <c r="G27" s="87"/>
      <c r="H27" s="87"/>
      <c r="I27" s="87"/>
      <c r="J27" s="87"/>
      <c r="K27" s="87"/>
      <c r="L27" s="87"/>
    </row>
    <row r="28" customFormat="false" ht="15" hidden="false" customHeight="true" outlineLevel="0" collapsed="false">
      <c r="A28" s="85" t="s">
        <v>396</v>
      </c>
      <c r="B28" s="137" t="n">
        <v>120</v>
      </c>
      <c r="C28" s="87" t="s">
        <v>397</v>
      </c>
      <c r="D28" s="87"/>
      <c r="E28" s="87"/>
      <c r="F28" s="87"/>
      <c r="G28" s="87"/>
      <c r="H28" s="87"/>
      <c r="I28" s="87"/>
      <c r="J28" s="87"/>
      <c r="K28" s="87"/>
      <c r="L28" s="87"/>
    </row>
    <row r="30" customFormat="false" ht="21.75" hidden="false" customHeight="true" outlineLevel="0" collapsed="false">
      <c r="A30" s="64" t="s">
        <v>398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</row>
    <row r="31" customFormat="false" ht="30" hidden="false" customHeight="true" outlineLevel="0" collapsed="false">
      <c r="A31" s="65" t="s">
        <v>95</v>
      </c>
      <c r="B31" s="65" t="s">
        <v>373</v>
      </c>
      <c r="C31" s="65" t="s">
        <v>214</v>
      </c>
      <c r="D31" s="65" t="s">
        <v>366</v>
      </c>
      <c r="E31" s="65"/>
      <c r="F31" s="65"/>
      <c r="G31" s="65"/>
      <c r="H31" s="65"/>
      <c r="I31" s="65"/>
      <c r="J31" s="65"/>
      <c r="K31" s="65"/>
      <c r="L31" s="65"/>
    </row>
    <row r="32" customFormat="false" ht="15" hidden="false" customHeight="true" outlineLevel="0" collapsed="false">
      <c r="A32" s="85" t="s">
        <v>399</v>
      </c>
      <c r="B32" s="136" t="n">
        <v>40000</v>
      </c>
      <c r="C32" s="137" t="n">
        <v>6000</v>
      </c>
      <c r="D32" s="87" t="s">
        <v>400</v>
      </c>
      <c r="E32" s="87"/>
      <c r="F32" s="87"/>
      <c r="G32" s="87"/>
      <c r="H32" s="87"/>
      <c r="I32" s="87"/>
      <c r="J32" s="87"/>
      <c r="K32" s="87"/>
      <c r="L32" s="87"/>
    </row>
    <row r="33" customFormat="false" ht="15" hidden="false" customHeight="true" outlineLevel="0" collapsed="false">
      <c r="A33" s="85" t="s">
        <v>401</v>
      </c>
      <c r="B33" s="136" t="n">
        <v>25000</v>
      </c>
      <c r="C33" s="137" t="n">
        <v>15000</v>
      </c>
      <c r="D33" s="87" t="s">
        <v>402</v>
      </c>
      <c r="E33" s="87"/>
      <c r="F33" s="87"/>
      <c r="G33" s="87"/>
      <c r="H33" s="87"/>
      <c r="I33" s="87"/>
      <c r="J33" s="87"/>
      <c r="K33" s="87"/>
      <c r="L33" s="87"/>
    </row>
    <row r="34" customFormat="false" ht="15" hidden="false" customHeight="true" outlineLevel="0" collapsed="false">
      <c r="A34" s="85" t="s">
        <v>403</v>
      </c>
      <c r="B34" s="136" t="n">
        <v>0</v>
      </c>
      <c r="C34" s="137" t="n">
        <v>5000</v>
      </c>
      <c r="D34" s="87" t="s">
        <v>404</v>
      </c>
      <c r="E34" s="87"/>
      <c r="F34" s="87"/>
      <c r="G34" s="87"/>
      <c r="H34" s="87"/>
      <c r="I34" s="87"/>
      <c r="J34" s="87"/>
      <c r="K34" s="87"/>
      <c r="L34" s="87"/>
    </row>
    <row r="35" customFormat="false" ht="15" hidden="false" customHeight="true" outlineLevel="0" collapsed="false">
      <c r="A35" s="85" t="s">
        <v>405</v>
      </c>
      <c r="B35" s="140" t="n">
        <v>2500</v>
      </c>
      <c r="C35" s="137" t="n">
        <v>600</v>
      </c>
      <c r="D35" s="87" t="s">
        <v>406</v>
      </c>
      <c r="E35" s="87"/>
      <c r="F35" s="87"/>
      <c r="G35" s="87"/>
      <c r="H35" s="87"/>
      <c r="I35" s="87"/>
      <c r="J35" s="87"/>
      <c r="K35" s="87"/>
      <c r="L35" s="87"/>
    </row>
    <row r="37" customFormat="false" ht="21.75" hidden="false" customHeight="true" outlineLevel="0" collapsed="false">
      <c r="A37" s="64" t="s">
        <v>407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</row>
    <row r="38" customFormat="false" ht="30" hidden="false" customHeight="true" outlineLevel="0" collapsed="false">
      <c r="A38" s="65" t="s">
        <v>408</v>
      </c>
      <c r="B38" s="65" t="s">
        <v>409</v>
      </c>
      <c r="C38" s="65" t="s">
        <v>366</v>
      </c>
      <c r="D38" s="65"/>
      <c r="E38" s="65"/>
      <c r="F38" s="65"/>
      <c r="G38" s="65"/>
      <c r="H38" s="65"/>
      <c r="I38" s="65"/>
      <c r="J38" s="65"/>
      <c r="K38" s="65"/>
      <c r="L38" s="65"/>
    </row>
    <row r="39" customFormat="false" ht="15" hidden="false" customHeight="true" outlineLevel="0" collapsed="false">
      <c r="A39" s="85" t="s">
        <v>410</v>
      </c>
      <c r="B39" s="141" t="n">
        <v>0.1</v>
      </c>
      <c r="C39" s="87" t="s">
        <v>411</v>
      </c>
      <c r="D39" s="87"/>
      <c r="E39" s="87"/>
      <c r="F39" s="87"/>
      <c r="G39" s="87"/>
      <c r="H39" s="87"/>
      <c r="I39" s="87"/>
      <c r="J39" s="87"/>
      <c r="K39" s="87"/>
      <c r="L39" s="87"/>
    </row>
    <row r="40" customFormat="false" ht="15" hidden="false" customHeight="true" outlineLevel="0" collapsed="false">
      <c r="A40" s="85" t="s">
        <v>412</v>
      </c>
      <c r="B40" s="141" t="n">
        <v>0.15</v>
      </c>
      <c r="C40" s="87" t="s">
        <v>413</v>
      </c>
      <c r="D40" s="87"/>
      <c r="E40" s="87"/>
      <c r="F40" s="87"/>
      <c r="G40" s="87"/>
      <c r="H40" s="87"/>
      <c r="I40" s="87"/>
      <c r="J40" s="87"/>
      <c r="K40" s="87"/>
      <c r="L40" s="87"/>
    </row>
    <row r="41" customFormat="false" ht="15" hidden="false" customHeight="true" outlineLevel="0" collapsed="false">
      <c r="A41" s="85" t="s">
        <v>414</v>
      </c>
      <c r="B41" s="141" t="n">
        <v>0.15</v>
      </c>
      <c r="C41" s="87" t="s">
        <v>415</v>
      </c>
      <c r="D41" s="87"/>
      <c r="E41" s="87"/>
      <c r="F41" s="87"/>
      <c r="G41" s="87"/>
      <c r="H41" s="87"/>
      <c r="I41" s="87"/>
      <c r="J41" s="87"/>
      <c r="K41" s="87"/>
      <c r="L41" s="87"/>
    </row>
    <row r="42" customFormat="false" ht="15" hidden="false" customHeight="true" outlineLevel="0" collapsed="false">
      <c r="A42" s="85" t="s">
        <v>416</v>
      </c>
      <c r="B42" s="141" t="n">
        <v>0.25</v>
      </c>
      <c r="C42" s="87" t="s">
        <v>417</v>
      </c>
      <c r="D42" s="87"/>
      <c r="E42" s="87"/>
      <c r="F42" s="87"/>
      <c r="G42" s="87"/>
      <c r="H42" s="87"/>
      <c r="I42" s="87"/>
      <c r="J42" s="87"/>
      <c r="K42" s="87"/>
      <c r="L42" s="87"/>
    </row>
    <row r="43" customFormat="false" ht="15" hidden="false" customHeight="true" outlineLevel="0" collapsed="false">
      <c r="A43" s="85" t="s">
        <v>418</v>
      </c>
      <c r="B43" s="142" t="n">
        <v>20</v>
      </c>
      <c r="C43" s="87" t="s">
        <v>419</v>
      </c>
      <c r="D43" s="87"/>
      <c r="E43" s="87"/>
      <c r="F43" s="87"/>
      <c r="G43" s="87"/>
      <c r="H43" s="87"/>
      <c r="I43" s="87"/>
      <c r="J43" s="87"/>
      <c r="K43" s="87"/>
      <c r="L43" s="87"/>
    </row>
    <row r="44" customFormat="false" ht="15" hidden="false" customHeight="true" outlineLevel="0" collapsed="false">
      <c r="A44" s="85" t="s">
        <v>420</v>
      </c>
      <c r="B44" s="141" t="n">
        <v>0.2</v>
      </c>
      <c r="C44" s="87" t="s">
        <v>421</v>
      </c>
      <c r="D44" s="87"/>
      <c r="E44" s="87"/>
      <c r="F44" s="87"/>
      <c r="G44" s="87"/>
      <c r="H44" s="87"/>
      <c r="I44" s="87"/>
      <c r="J44" s="87"/>
      <c r="K44" s="87"/>
      <c r="L44" s="87"/>
    </row>
    <row r="45" customFormat="false" ht="15" hidden="false" customHeight="true" outlineLevel="0" collapsed="false">
      <c r="A45" s="85" t="s">
        <v>422</v>
      </c>
      <c r="B45" s="141" t="n">
        <v>0.1</v>
      </c>
      <c r="C45" s="87" t="s">
        <v>423</v>
      </c>
      <c r="D45" s="87"/>
      <c r="E45" s="87"/>
      <c r="F45" s="87"/>
      <c r="G45" s="87"/>
      <c r="H45" s="87"/>
      <c r="I45" s="87"/>
      <c r="J45" s="87"/>
      <c r="K45" s="87"/>
      <c r="L45" s="87"/>
    </row>
    <row r="46" customFormat="false" ht="15" hidden="false" customHeight="true" outlineLevel="0" collapsed="false">
      <c r="A46" s="85" t="s">
        <v>424</v>
      </c>
      <c r="B46" s="141" t="n">
        <v>0.3</v>
      </c>
      <c r="C46" s="87" t="s">
        <v>425</v>
      </c>
      <c r="D46" s="87"/>
      <c r="E46" s="87"/>
      <c r="F46" s="87"/>
      <c r="G46" s="87"/>
      <c r="H46" s="87"/>
      <c r="I46" s="87"/>
      <c r="J46" s="87"/>
      <c r="K46" s="87"/>
      <c r="L46" s="87"/>
    </row>
    <row r="47" customFormat="false" ht="15" hidden="false" customHeight="true" outlineLevel="0" collapsed="false">
      <c r="A47" s="85" t="s">
        <v>426</v>
      </c>
      <c r="B47" s="141" t="n">
        <v>0.07</v>
      </c>
      <c r="C47" s="87" t="s">
        <v>427</v>
      </c>
      <c r="D47" s="87"/>
      <c r="E47" s="87"/>
      <c r="F47" s="87"/>
      <c r="G47" s="87"/>
      <c r="H47" s="87"/>
      <c r="I47" s="87"/>
      <c r="J47" s="87"/>
      <c r="K47" s="87"/>
      <c r="L47" s="87"/>
    </row>
    <row r="48" customFormat="false" ht="15" hidden="false" customHeight="true" outlineLevel="0" collapsed="false">
      <c r="A48" s="85" t="s">
        <v>247</v>
      </c>
      <c r="B48" s="141" t="n">
        <v>0.18</v>
      </c>
      <c r="C48" s="87" t="s">
        <v>428</v>
      </c>
      <c r="D48" s="87"/>
      <c r="E48" s="87"/>
      <c r="F48" s="87"/>
      <c r="G48" s="87"/>
      <c r="H48" s="87"/>
      <c r="I48" s="87"/>
      <c r="J48" s="87"/>
      <c r="K48" s="87"/>
      <c r="L48" s="87"/>
    </row>
    <row r="49" customFormat="false" ht="15" hidden="false" customHeight="true" outlineLevel="0" collapsed="false">
      <c r="A49" s="85" t="s">
        <v>429</v>
      </c>
      <c r="B49" s="141" t="n">
        <v>0.6</v>
      </c>
      <c r="C49" s="87" t="s">
        <v>430</v>
      </c>
      <c r="D49" s="87"/>
      <c r="E49" s="87"/>
      <c r="F49" s="87"/>
      <c r="G49" s="87"/>
      <c r="H49" s="87"/>
      <c r="I49" s="87"/>
      <c r="J49" s="87"/>
      <c r="K49" s="87"/>
      <c r="L49" s="87"/>
    </row>
    <row r="50" customFormat="false" ht="15" hidden="false" customHeight="true" outlineLevel="0" collapsed="false">
      <c r="A50" s="85" t="s">
        <v>431</v>
      </c>
      <c r="B50" s="143" t="n">
        <v>250</v>
      </c>
      <c r="C50" s="87" t="s">
        <v>432</v>
      </c>
      <c r="D50" s="87"/>
      <c r="E50" s="87"/>
      <c r="F50" s="87"/>
      <c r="G50" s="87"/>
      <c r="H50" s="87"/>
      <c r="I50" s="87"/>
      <c r="J50" s="87"/>
      <c r="K50" s="87"/>
      <c r="L50" s="87"/>
    </row>
    <row r="52" customFormat="false" ht="21.75" hidden="false" customHeight="true" outlineLevel="0" collapsed="false">
      <c r="A52" s="64" t="s">
        <v>433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</row>
    <row r="53" customFormat="false" ht="30" hidden="false" customHeight="true" outlineLevel="0" collapsed="false">
      <c r="A53" s="65" t="s">
        <v>434</v>
      </c>
      <c r="B53" s="65" t="s">
        <v>409</v>
      </c>
      <c r="C53" s="65" t="s">
        <v>435</v>
      </c>
      <c r="D53" s="65"/>
      <c r="E53" s="65"/>
      <c r="F53" s="65"/>
      <c r="G53" s="65"/>
      <c r="H53" s="65"/>
      <c r="I53" s="65"/>
      <c r="J53" s="65"/>
      <c r="K53" s="65"/>
      <c r="L53" s="65"/>
    </row>
    <row r="54" customFormat="false" ht="15" hidden="false" customHeight="true" outlineLevel="0" collapsed="false">
      <c r="A54" s="85" t="s">
        <v>436</v>
      </c>
      <c r="B54" s="136" t="n">
        <v>1000000</v>
      </c>
      <c r="C54" s="87" t="s">
        <v>437</v>
      </c>
      <c r="D54" s="87"/>
      <c r="E54" s="87"/>
      <c r="F54" s="87"/>
      <c r="G54" s="87"/>
      <c r="H54" s="87"/>
      <c r="I54" s="87"/>
      <c r="J54" s="87"/>
      <c r="K54" s="87"/>
      <c r="L54" s="87"/>
    </row>
    <row r="55" customFormat="false" ht="15" hidden="false" customHeight="true" outlineLevel="0" collapsed="false">
      <c r="A55" s="85" t="s">
        <v>438</v>
      </c>
      <c r="B55" s="140" t="n">
        <v>300000</v>
      </c>
      <c r="C55" s="87" t="s">
        <v>439</v>
      </c>
      <c r="D55" s="87"/>
      <c r="E55" s="87"/>
      <c r="F55" s="87"/>
      <c r="G55" s="87"/>
      <c r="H55" s="87"/>
      <c r="I55" s="87"/>
      <c r="J55" s="87"/>
      <c r="K55" s="87"/>
      <c r="L55" s="87"/>
    </row>
    <row r="56" customFormat="false" ht="15" hidden="false" customHeight="true" outlineLevel="0" collapsed="false">
      <c r="A56" s="85" t="s">
        <v>440</v>
      </c>
      <c r="B56" s="144" t="n">
        <v>0.85</v>
      </c>
      <c r="C56" s="87" t="s">
        <v>441</v>
      </c>
      <c r="D56" s="87"/>
      <c r="E56" s="87"/>
      <c r="F56" s="87"/>
      <c r="G56" s="87"/>
      <c r="H56" s="87"/>
      <c r="I56" s="87"/>
      <c r="J56" s="87"/>
      <c r="K56" s="87"/>
      <c r="L56" s="87"/>
    </row>
    <row r="57" customFormat="false" ht="15" hidden="false" customHeight="true" outlineLevel="0" collapsed="false">
      <c r="A57" s="85" t="s">
        <v>442</v>
      </c>
      <c r="B57" s="142" t="n">
        <v>289</v>
      </c>
      <c r="C57" s="87" t="s">
        <v>437</v>
      </c>
      <c r="D57" s="87"/>
      <c r="E57" s="87"/>
      <c r="F57" s="87"/>
      <c r="G57" s="87"/>
      <c r="H57" s="87"/>
      <c r="I57" s="87"/>
      <c r="J57" s="87"/>
      <c r="K57" s="87"/>
      <c r="L57" s="87"/>
    </row>
    <row r="58" customFormat="false" ht="15" hidden="false" customHeight="true" outlineLevel="0" collapsed="false">
      <c r="A58" s="85" t="s">
        <v>443</v>
      </c>
      <c r="B58" s="145" t="n">
        <v>2.5</v>
      </c>
      <c r="C58" s="87" t="s">
        <v>444</v>
      </c>
      <c r="D58" s="87"/>
      <c r="E58" s="87"/>
      <c r="F58" s="87"/>
      <c r="G58" s="87"/>
      <c r="H58" s="87"/>
      <c r="I58" s="87"/>
      <c r="J58" s="87"/>
      <c r="K58" s="87"/>
      <c r="L58" s="87"/>
    </row>
    <row r="59" customFormat="false" ht="15" hidden="false" customHeight="true" outlineLevel="0" collapsed="false">
      <c r="A59" s="85" t="s">
        <v>445</v>
      </c>
      <c r="B59" s="144" t="n">
        <v>0.12</v>
      </c>
      <c r="C59" s="87" t="s">
        <v>446</v>
      </c>
      <c r="D59" s="87"/>
      <c r="E59" s="87"/>
      <c r="F59" s="87"/>
      <c r="G59" s="87"/>
      <c r="H59" s="87"/>
      <c r="I59" s="87"/>
      <c r="J59" s="87"/>
      <c r="K59" s="87"/>
      <c r="L59" s="87"/>
    </row>
    <row r="60" customFormat="false" ht="15" hidden="false" customHeight="true" outlineLevel="0" collapsed="false">
      <c r="A60" s="85" t="s">
        <v>447</v>
      </c>
      <c r="B60" s="140" t="n">
        <v>9000</v>
      </c>
      <c r="C60" s="87" t="s">
        <v>448</v>
      </c>
      <c r="D60" s="87"/>
      <c r="E60" s="87"/>
      <c r="F60" s="87"/>
      <c r="G60" s="87"/>
      <c r="H60" s="87"/>
      <c r="I60" s="87"/>
      <c r="J60" s="87"/>
      <c r="K60" s="87"/>
      <c r="L60" s="87"/>
    </row>
    <row r="61" customFormat="false" ht="15" hidden="false" customHeight="true" outlineLevel="0" collapsed="false">
      <c r="A61" s="85" t="s">
        <v>449</v>
      </c>
      <c r="B61" s="144" t="n">
        <v>0.4</v>
      </c>
      <c r="C61" s="87" t="s">
        <v>450</v>
      </c>
      <c r="D61" s="87"/>
      <c r="E61" s="87"/>
      <c r="F61" s="87"/>
      <c r="G61" s="87"/>
      <c r="H61" s="87"/>
      <c r="I61" s="87"/>
      <c r="J61" s="87"/>
      <c r="K61" s="87"/>
      <c r="L61" s="87"/>
    </row>
    <row r="62" customFormat="false" ht="15" hidden="false" customHeight="true" outlineLevel="0" collapsed="false">
      <c r="A62" s="85" t="s">
        <v>451</v>
      </c>
      <c r="B62" s="144" t="n">
        <v>0.3</v>
      </c>
      <c r="C62" s="87" t="s">
        <v>441</v>
      </c>
      <c r="D62" s="87"/>
      <c r="E62" s="87"/>
      <c r="F62" s="87"/>
      <c r="G62" s="87"/>
      <c r="H62" s="87"/>
      <c r="I62" s="87"/>
      <c r="J62" s="87"/>
      <c r="K62" s="87"/>
      <c r="L62" s="87"/>
    </row>
    <row r="63" customFormat="false" ht="15" hidden="false" customHeight="true" outlineLevel="0" collapsed="false">
      <c r="A63" s="85" t="s">
        <v>452</v>
      </c>
      <c r="B63" s="144" t="n">
        <v>0.15</v>
      </c>
      <c r="C63" s="87" t="s">
        <v>441</v>
      </c>
      <c r="D63" s="87"/>
      <c r="E63" s="87"/>
      <c r="F63" s="87"/>
      <c r="G63" s="87"/>
      <c r="H63" s="87"/>
      <c r="I63" s="87"/>
      <c r="J63" s="87"/>
      <c r="K63" s="87"/>
      <c r="L63" s="87"/>
    </row>
    <row r="64" customFormat="false" ht="15" hidden="false" customHeight="true" outlineLevel="0" collapsed="false">
      <c r="A64" s="85" t="s">
        <v>453</v>
      </c>
      <c r="B64" s="146" t="n">
        <v>4</v>
      </c>
      <c r="C64" s="87" t="s">
        <v>441</v>
      </c>
      <c r="D64" s="87"/>
      <c r="E64" s="87"/>
      <c r="F64" s="87"/>
      <c r="G64" s="87"/>
      <c r="H64" s="87"/>
      <c r="I64" s="87"/>
      <c r="J64" s="87"/>
      <c r="K64" s="87"/>
      <c r="L64" s="87"/>
    </row>
    <row r="65" customFormat="false" ht="15" hidden="false" customHeight="true" outlineLevel="0" collapsed="false">
      <c r="A65" s="85" t="s">
        <v>454</v>
      </c>
      <c r="B65" s="144" t="n">
        <v>0.5</v>
      </c>
      <c r="C65" s="87" t="s">
        <v>455</v>
      </c>
      <c r="D65" s="87"/>
      <c r="E65" s="87"/>
      <c r="F65" s="87"/>
      <c r="G65" s="87"/>
      <c r="H65" s="87"/>
      <c r="I65" s="87"/>
      <c r="J65" s="87"/>
      <c r="K65" s="87"/>
      <c r="L65" s="87"/>
    </row>
    <row r="67" customFormat="false" ht="30" hidden="false" customHeight="true" outlineLevel="0" collapsed="false">
      <c r="A67" s="65" t="s">
        <v>456</v>
      </c>
      <c r="B67" s="65" t="s">
        <v>457</v>
      </c>
      <c r="C67" s="65" t="s">
        <v>366</v>
      </c>
      <c r="D67" s="65"/>
      <c r="E67" s="65"/>
      <c r="F67" s="65"/>
      <c r="G67" s="65"/>
      <c r="H67" s="65"/>
      <c r="I67" s="65"/>
      <c r="J67" s="65"/>
      <c r="K67" s="65"/>
      <c r="L67" s="65"/>
    </row>
    <row r="68" customFormat="false" ht="15" hidden="false" customHeight="true" outlineLevel="0" collapsed="false">
      <c r="A68" s="147" t="str">
        <f aca="false">A6</f>
        <v>Essential 9</v>
      </c>
      <c r="B68" s="148" t="n">
        <v>0.3</v>
      </c>
      <c r="C68" s="87" t="s">
        <v>441</v>
      </c>
      <c r="D68" s="87"/>
      <c r="E68" s="87"/>
      <c r="F68" s="87"/>
      <c r="G68" s="87"/>
      <c r="H68" s="87"/>
      <c r="I68" s="87"/>
      <c r="J68" s="87"/>
      <c r="K68" s="87"/>
      <c r="L68" s="87"/>
    </row>
    <row r="69" customFormat="false" ht="15" hidden="false" customHeight="false" outlineLevel="0" collapsed="false">
      <c r="A69" s="147" t="str">
        <f aca="false">A7</f>
        <v>Standard 12</v>
      </c>
      <c r="B69" s="148" t="n">
        <v>0.35</v>
      </c>
      <c r="C69" s="87"/>
      <c r="D69" s="87"/>
      <c r="E69" s="87"/>
      <c r="F69" s="87"/>
      <c r="G69" s="87"/>
      <c r="H69" s="87"/>
      <c r="I69" s="87"/>
      <c r="J69" s="87"/>
      <c r="K69" s="87"/>
      <c r="L69" s="87"/>
    </row>
    <row r="70" customFormat="false" ht="15" hidden="false" customHeight="false" outlineLevel="0" collapsed="false">
      <c r="A70" s="147" t="str">
        <f aca="false">A8</f>
        <v>Advanced 18</v>
      </c>
      <c r="B70" s="148" t="n">
        <v>0.2</v>
      </c>
      <c r="C70" s="87"/>
      <c r="D70" s="87"/>
      <c r="E70" s="87"/>
      <c r="F70" s="87"/>
      <c r="G70" s="87"/>
      <c r="H70" s="87"/>
      <c r="I70" s="87"/>
      <c r="J70" s="87"/>
      <c r="K70" s="87"/>
      <c r="L70" s="87"/>
    </row>
    <row r="71" customFormat="false" ht="15" hidden="false" customHeight="false" outlineLevel="0" collapsed="false">
      <c r="A71" s="147" t="str">
        <f aca="false">A9</f>
        <v>Premier 24</v>
      </c>
      <c r="B71" s="148" t="n">
        <v>0.15</v>
      </c>
      <c r="C71" s="87"/>
      <c r="D71" s="87"/>
      <c r="E71" s="87"/>
      <c r="F71" s="87"/>
      <c r="G71" s="87"/>
      <c r="H71" s="87"/>
      <c r="I71" s="87"/>
      <c r="J71" s="87"/>
      <c r="K71" s="87"/>
      <c r="L71" s="87"/>
    </row>
    <row r="72" customFormat="false" ht="15" hidden="false" customHeight="false" outlineLevel="0" collapsed="false">
      <c r="A72" s="85" t="s">
        <v>458</v>
      </c>
      <c r="B72" s="149" t="n">
        <f aca="false">SUM(B68:B71)</f>
        <v>1</v>
      </c>
      <c r="C72" s="150" t="str">
        <f aca="false">IF(ROUND(B72,4)=1,"OK","Does not add up to 100% — fix the shares above")</f>
        <v>OK</v>
      </c>
      <c r="D72" s="150"/>
      <c r="E72" s="150"/>
      <c r="F72" s="150"/>
      <c r="G72" s="150"/>
      <c r="H72" s="150"/>
      <c r="I72" s="150"/>
      <c r="J72" s="150"/>
      <c r="K72" s="150"/>
      <c r="L72" s="150"/>
    </row>
    <row r="74" customFormat="false" ht="30" hidden="false" customHeight="true" outlineLevel="0" collapsed="false">
      <c r="A74" s="65" t="s">
        <v>459</v>
      </c>
      <c r="B74" s="65" t="s">
        <v>457</v>
      </c>
      <c r="C74" s="65" t="s">
        <v>366</v>
      </c>
      <c r="D74" s="65"/>
      <c r="E74" s="65"/>
      <c r="F74" s="65"/>
      <c r="G74" s="65"/>
      <c r="H74" s="65"/>
      <c r="I74" s="65"/>
      <c r="J74" s="65"/>
      <c r="K74" s="65"/>
      <c r="L74" s="65"/>
    </row>
    <row r="75" customFormat="false" ht="15" hidden="false" customHeight="true" outlineLevel="0" collapsed="false">
      <c r="A75" s="147" t="str">
        <f aca="false">A22</f>
        <v>Interns 20</v>
      </c>
      <c r="B75" s="148" t="n">
        <v>0.1</v>
      </c>
      <c r="C75" s="87" t="s">
        <v>441</v>
      </c>
      <c r="D75" s="87"/>
      <c r="E75" s="87"/>
      <c r="F75" s="87"/>
      <c r="G75" s="87"/>
      <c r="H75" s="87"/>
      <c r="I75" s="87"/>
      <c r="J75" s="87"/>
      <c r="K75" s="87"/>
      <c r="L75" s="87"/>
    </row>
    <row r="76" customFormat="false" ht="15" hidden="false" customHeight="false" outlineLevel="0" collapsed="false">
      <c r="A76" s="147" t="str">
        <f aca="false">A23</f>
        <v>Interns 40</v>
      </c>
      <c r="B76" s="148" t="n">
        <v>0.15</v>
      </c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customFormat="false" ht="15" hidden="false" customHeight="false" outlineLevel="0" collapsed="false">
      <c r="A77" s="147" t="str">
        <f aca="false">A24</f>
        <v>Interns 60</v>
      </c>
      <c r="B77" s="148" t="n">
        <v>0.2</v>
      </c>
      <c r="C77" s="87"/>
      <c r="D77" s="87"/>
      <c r="E77" s="87"/>
      <c r="F77" s="87"/>
      <c r="G77" s="87"/>
      <c r="H77" s="87"/>
      <c r="I77" s="87"/>
      <c r="J77" s="87"/>
      <c r="K77" s="87"/>
      <c r="L77" s="87"/>
    </row>
    <row r="78" customFormat="false" ht="15" hidden="false" customHeight="false" outlineLevel="0" collapsed="false">
      <c r="A78" s="147" t="str">
        <f aca="false">A25</f>
        <v>Interns 80</v>
      </c>
      <c r="B78" s="148" t="n">
        <v>0.15</v>
      </c>
      <c r="C78" s="87"/>
      <c r="D78" s="87"/>
      <c r="E78" s="87"/>
      <c r="F78" s="87"/>
      <c r="G78" s="87"/>
      <c r="H78" s="87"/>
      <c r="I78" s="87"/>
      <c r="J78" s="87"/>
      <c r="K78" s="87"/>
      <c r="L78" s="87"/>
    </row>
    <row r="79" customFormat="false" ht="15" hidden="false" customHeight="false" outlineLevel="0" collapsed="false">
      <c r="A79" s="147" t="str">
        <f aca="false">A26</f>
        <v>Interns 100</v>
      </c>
      <c r="B79" s="148" t="n">
        <v>0.4</v>
      </c>
      <c r="C79" s="87"/>
      <c r="D79" s="87"/>
      <c r="E79" s="87"/>
      <c r="F79" s="87"/>
      <c r="G79" s="87"/>
      <c r="H79" s="87"/>
      <c r="I79" s="87"/>
      <c r="J79" s="87"/>
      <c r="K79" s="87"/>
      <c r="L79" s="87"/>
    </row>
    <row r="80" customFormat="false" ht="15" hidden="false" customHeight="false" outlineLevel="0" collapsed="false">
      <c r="A80" s="85" t="s">
        <v>458</v>
      </c>
      <c r="B80" s="149" t="n">
        <f aca="false">SUM(B75:B79)</f>
        <v>1</v>
      </c>
      <c r="C80" s="150" t="str">
        <f aca="false">IF(ROUND(B80,4)=1,"OK","Does not add up to 100% — fix the shares above")</f>
        <v>OK</v>
      </c>
      <c r="D80" s="150"/>
      <c r="E80" s="150"/>
      <c r="F80" s="150"/>
      <c r="G80" s="150"/>
      <c r="H80" s="150"/>
      <c r="I80" s="150"/>
      <c r="J80" s="150"/>
      <c r="K80" s="150"/>
      <c r="L80" s="150"/>
    </row>
    <row r="82" customFormat="false" ht="30" hidden="false" customHeight="true" outlineLevel="0" collapsed="false">
      <c r="A82" s="65" t="s">
        <v>460</v>
      </c>
      <c r="B82" s="65" t="s">
        <v>326</v>
      </c>
      <c r="C82" s="65" t="s">
        <v>327</v>
      </c>
      <c r="D82" s="65" t="s">
        <v>328</v>
      </c>
      <c r="E82" s="65" t="s">
        <v>329</v>
      </c>
      <c r="F82" s="65" t="s">
        <v>330</v>
      </c>
    </row>
    <row r="83" customFormat="false" ht="15" hidden="false" customHeight="true" outlineLevel="0" collapsed="false">
      <c r="A83" s="85" t="s">
        <v>461</v>
      </c>
      <c r="B83" s="148" t="n">
        <v>0.25</v>
      </c>
      <c r="C83" s="148" t="n">
        <v>0.18</v>
      </c>
      <c r="D83" s="148" t="n">
        <v>0.12</v>
      </c>
      <c r="E83" s="148" t="n">
        <v>0.1</v>
      </c>
      <c r="F83" s="148" t="n">
        <v>0.1</v>
      </c>
      <c r="G83" s="87" t="s">
        <v>462</v>
      </c>
      <c r="H83" s="87"/>
      <c r="I83" s="87"/>
      <c r="J83" s="87"/>
      <c r="K83" s="87"/>
      <c r="L83" s="87"/>
    </row>
    <row r="85" customFormat="false" ht="30" hidden="false" customHeight="true" outlineLevel="0" collapsed="false">
      <c r="A85" s="65" t="s">
        <v>463</v>
      </c>
      <c r="B85" s="65" t="s">
        <v>326</v>
      </c>
      <c r="C85" s="65" t="s">
        <v>327</v>
      </c>
      <c r="D85" s="65" t="s">
        <v>328</v>
      </c>
      <c r="E85" s="65" t="s">
        <v>329</v>
      </c>
      <c r="F85" s="65" t="s">
        <v>330</v>
      </c>
    </row>
    <row r="86" customFormat="false" ht="15" hidden="false" customHeight="true" outlineLevel="0" collapsed="false">
      <c r="A86" s="85" t="s">
        <v>317</v>
      </c>
      <c r="B86" s="151" t="n">
        <v>5</v>
      </c>
      <c r="C86" s="151" t="n">
        <v>10</v>
      </c>
      <c r="D86" s="151" t="n">
        <v>15</v>
      </c>
      <c r="E86" s="151" t="n">
        <v>15</v>
      </c>
      <c r="F86" s="151" t="n">
        <v>15</v>
      </c>
      <c r="G86" s="152" t="s">
        <v>464</v>
      </c>
      <c r="H86" s="152"/>
      <c r="I86" s="152"/>
      <c r="J86" s="152"/>
      <c r="K86" s="152"/>
      <c r="L86" s="152"/>
    </row>
    <row r="87" customFormat="false" ht="15" hidden="false" customHeight="false" outlineLevel="0" collapsed="false">
      <c r="A87" s="85" t="s">
        <v>318</v>
      </c>
      <c r="B87" s="151" t="n">
        <v>10</v>
      </c>
      <c r="C87" s="151" t="n">
        <v>20</v>
      </c>
      <c r="D87" s="151" t="n">
        <v>30</v>
      </c>
      <c r="E87" s="151" t="n">
        <v>30</v>
      </c>
      <c r="F87" s="151" t="n">
        <v>30</v>
      </c>
      <c r="G87" s="152"/>
      <c r="H87" s="152"/>
      <c r="I87" s="152"/>
      <c r="J87" s="152"/>
      <c r="K87" s="152"/>
      <c r="L87" s="152"/>
    </row>
    <row r="88" customFormat="false" ht="15" hidden="false" customHeight="false" outlineLevel="0" collapsed="false">
      <c r="A88" s="85" t="s">
        <v>319</v>
      </c>
      <c r="B88" s="151" t="n">
        <v>20</v>
      </c>
      <c r="C88" s="151" t="n">
        <v>35</v>
      </c>
      <c r="D88" s="151" t="n">
        <v>50</v>
      </c>
      <c r="E88" s="151" t="n">
        <v>50</v>
      </c>
      <c r="F88" s="151" t="n">
        <v>50</v>
      </c>
      <c r="G88" s="152"/>
      <c r="H88" s="152"/>
      <c r="I88" s="152"/>
      <c r="J88" s="152"/>
      <c r="K88" s="152"/>
      <c r="L88" s="152"/>
    </row>
  </sheetData>
  <mergeCells count="69">
    <mergeCell ref="A1:L1"/>
    <mergeCell ref="A2:L2"/>
    <mergeCell ref="A4:L4"/>
    <mergeCell ref="A11:L11"/>
    <mergeCell ref="D12:L12"/>
    <mergeCell ref="D13:L13"/>
    <mergeCell ref="D14:L14"/>
    <mergeCell ref="D15:L15"/>
    <mergeCell ref="D16:L16"/>
    <mergeCell ref="D17:L17"/>
    <mergeCell ref="D18:L18"/>
    <mergeCell ref="A20:L20"/>
    <mergeCell ref="G21:L21"/>
    <mergeCell ref="G22:L22"/>
    <mergeCell ref="G23:L23"/>
    <mergeCell ref="G24:L24"/>
    <mergeCell ref="G25:L25"/>
    <mergeCell ref="G26:L26"/>
    <mergeCell ref="C27:L27"/>
    <mergeCell ref="C28:L28"/>
    <mergeCell ref="A30:L30"/>
    <mergeCell ref="D31:L31"/>
    <mergeCell ref="D32:L32"/>
    <mergeCell ref="D33:L33"/>
    <mergeCell ref="D34:L34"/>
    <mergeCell ref="D35:L35"/>
    <mergeCell ref="A37:L37"/>
    <mergeCell ref="C38:L38"/>
    <mergeCell ref="C39:L39"/>
    <mergeCell ref="C40:L40"/>
    <mergeCell ref="C41:L41"/>
    <mergeCell ref="C42:L42"/>
    <mergeCell ref="C43:L43"/>
    <mergeCell ref="C44:L44"/>
    <mergeCell ref="C45:L45"/>
    <mergeCell ref="C46:L46"/>
    <mergeCell ref="C47:L47"/>
    <mergeCell ref="C48:L48"/>
    <mergeCell ref="C49:L49"/>
    <mergeCell ref="C50:L50"/>
    <mergeCell ref="A52:L52"/>
    <mergeCell ref="C53:L53"/>
    <mergeCell ref="C54:L54"/>
    <mergeCell ref="C55:L55"/>
    <mergeCell ref="C56:L56"/>
    <mergeCell ref="C57:L57"/>
    <mergeCell ref="C58:L58"/>
    <mergeCell ref="C59:L59"/>
    <mergeCell ref="C60:L60"/>
    <mergeCell ref="C61:L61"/>
    <mergeCell ref="C62:L62"/>
    <mergeCell ref="C63:L63"/>
    <mergeCell ref="C64:L64"/>
    <mergeCell ref="C65:L65"/>
    <mergeCell ref="C67:L67"/>
    <mergeCell ref="C68:L68"/>
    <mergeCell ref="C69:L69"/>
    <mergeCell ref="C70:L70"/>
    <mergeCell ref="C71:L71"/>
    <mergeCell ref="C72:L72"/>
    <mergeCell ref="C74:L74"/>
    <mergeCell ref="C75:L75"/>
    <mergeCell ref="C76:L76"/>
    <mergeCell ref="C77:L77"/>
    <mergeCell ref="C78:L78"/>
    <mergeCell ref="C79:L79"/>
    <mergeCell ref="C80:L80"/>
    <mergeCell ref="G83:L83"/>
    <mergeCell ref="G86:L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6" zoomScaleNormal="106" zoomScalePageLayoutView="100" workbookViewId="0">
      <pane xSplit="0" ySplit="2" topLeftCell="A3" activePane="bottomLeft" state="frozen"/>
      <selection pane="topLeft" activeCell="A1" activeCellId="0" sqref="A1"/>
      <selection pane="bottomLeft" activeCell="C7" activeCellId="0" sqref="C7"/>
    </sheetView>
  </sheetViews>
  <sheetFormatPr defaultColWidth="9.00390625" defaultRowHeight="15" zeroHeight="false" outlineLevelRow="0" outlineLevelCol="0"/>
  <cols>
    <col collapsed="false" customWidth="true" hidden="false" outlineLevel="0" max="8" min="1" style="0" width="18"/>
    <col collapsed="false" customWidth="true" hidden="false" outlineLevel="0" max="9" min="9" style="0" width="20"/>
  </cols>
  <sheetData>
    <row r="1" customFormat="false" ht="36" hidden="false" customHeight="true" outlineLevel="0" collapsed="false">
      <c r="A1" s="1" t="s">
        <v>465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466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153" t="s">
        <v>467</v>
      </c>
      <c r="B3" s="153"/>
      <c r="C3" s="5" t="s">
        <v>468</v>
      </c>
      <c r="D3" s="5"/>
      <c r="E3" s="154" t="s">
        <v>468</v>
      </c>
      <c r="F3" s="154"/>
      <c r="G3" s="155" t="s">
        <v>469</v>
      </c>
      <c r="H3" s="155"/>
      <c r="I3" s="156" t="s">
        <v>470</v>
      </c>
    </row>
    <row r="4" customFormat="false" ht="30" hidden="false" customHeight="true" outlineLevel="0" collapsed="false">
      <c r="A4" s="157" t="s">
        <v>471</v>
      </c>
      <c r="B4" s="157"/>
      <c r="C4" s="158" t="s">
        <v>472</v>
      </c>
      <c r="D4" s="158"/>
      <c r="E4" s="159" t="s">
        <v>473</v>
      </c>
      <c r="F4" s="159"/>
      <c r="G4" s="160" t="s">
        <v>474</v>
      </c>
      <c r="H4" s="160"/>
      <c r="I4" s="156"/>
    </row>
    <row r="5" customFormat="false" ht="27.75" hidden="false" customHeight="true" outlineLevel="0" collapsed="false">
      <c r="A5" s="161" t="s">
        <v>475</v>
      </c>
      <c r="B5" s="161"/>
      <c r="C5" s="162" t="s">
        <v>476</v>
      </c>
      <c r="D5" s="162"/>
      <c r="E5" s="163" t="s">
        <v>477</v>
      </c>
      <c r="F5" s="163"/>
      <c r="G5" s="164" t="s">
        <v>478</v>
      </c>
      <c r="H5" s="164"/>
      <c r="I5" s="156"/>
    </row>
    <row r="6" customFormat="false" ht="31.5" hidden="false" customHeight="true" outlineLevel="0" collapsed="false">
      <c r="A6" s="165" t="s">
        <v>479</v>
      </c>
      <c r="B6" s="165"/>
      <c r="C6" s="18" t="s">
        <v>480</v>
      </c>
      <c r="D6" s="18"/>
      <c r="E6" s="166" t="s">
        <v>481</v>
      </c>
      <c r="F6" s="166"/>
      <c r="G6" s="167" t="s">
        <v>482</v>
      </c>
      <c r="H6" s="167"/>
      <c r="I6" s="156"/>
    </row>
    <row r="7" customFormat="false" ht="24" hidden="false" customHeight="true" outlineLevel="0" collapsed="false">
      <c r="A7" s="168" t="s">
        <v>483</v>
      </c>
      <c r="B7" s="168"/>
      <c r="C7" s="22" t="s">
        <v>484</v>
      </c>
      <c r="D7" s="22"/>
      <c r="E7" s="23" t="s">
        <v>485</v>
      </c>
      <c r="F7" s="23"/>
      <c r="G7" s="169" t="s">
        <v>482</v>
      </c>
      <c r="H7" s="169"/>
      <c r="I7" s="156"/>
    </row>
    <row r="8" customFormat="false" ht="18" hidden="false" customHeight="true" outlineLevel="0" collapsed="false">
      <c r="A8" s="170" t="s">
        <v>486</v>
      </c>
      <c r="B8" s="170"/>
      <c r="C8" s="171" t="s">
        <v>487</v>
      </c>
      <c r="D8" s="171"/>
      <c r="E8" s="172" t="s">
        <v>488</v>
      </c>
      <c r="F8" s="172"/>
      <c r="G8" s="173"/>
      <c r="H8" s="173"/>
      <c r="I8" s="156"/>
    </row>
    <row r="9" customFormat="false" ht="13.5" hidden="false" customHeight="true" outlineLevel="0" collapsed="false"/>
    <row r="10" customFormat="false" ht="21.75" hidden="false" customHeight="true" outlineLevel="0" collapsed="false">
      <c r="A10" s="28" t="s">
        <v>489</v>
      </c>
      <c r="B10" s="28"/>
      <c r="C10" s="28"/>
      <c r="D10" s="28"/>
      <c r="E10" s="28"/>
      <c r="F10" s="28"/>
      <c r="G10" s="28"/>
      <c r="H10" s="28"/>
      <c r="I10" s="28"/>
    </row>
    <row r="11" customFormat="false" ht="25.5" hidden="false" customHeight="true" outlineLevel="0" collapsed="false">
      <c r="A11" s="29" t="s">
        <v>490</v>
      </c>
      <c r="B11" s="29" t="s">
        <v>491</v>
      </c>
      <c r="C11" s="29" t="s">
        <v>492</v>
      </c>
      <c r="D11" s="29" t="s">
        <v>493</v>
      </c>
      <c r="E11" s="29" t="s">
        <v>469</v>
      </c>
      <c r="F11" s="29" t="s">
        <v>494</v>
      </c>
      <c r="G11" s="29" t="s">
        <v>495</v>
      </c>
      <c r="H11" s="29" t="s">
        <v>496</v>
      </c>
      <c r="I11" s="29" t="s">
        <v>497</v>
      </c>
    </row>
    <row r="12" customFormat="false" ht="54.75" hidden="false" customHeight="true" outlineLevel="0" collapsed="false">
      <c r="A12" s="174" t="s">
        <v>498</v>
      </c>
      <c r="B12" s="175" t="s">
        <v>499</v>
      </c>
      <c r="C12" s="176" t="s">
        <v>33</v>
      </c>
      <c r="D12" s="34" t="s">
        <v>33</v>
      </c>
      <c r="E12" s="177" t="s">
        <v>33</v>
      </c>
      <c r="F12" s="178" t="s">
        <v>33</v>
      </c>
      <c r="G12" s="179" t="s">
        <v>500</v>
      </c>
      <c r="H12" s="179" t="s">
        <v>501</v>
      </c>
      <c r="I12" s="179" t="s">
        <v>502</v>
      </c>
    </row>
    <row r="13" customFormat="false" ht="54.75" hidden="false" customHeight="true" outlineLevel="0" collapsed="false">
      <c r="A13" s="174" t="s">
        <v>503</v>
      </c>
      <c r="B13" s="175" t="s">
        <v>504</v>
      </c>
      <c r="C13" s="180" t="s">
        <v>33</v>
      </c>
      <c r="D13" s="34" t="s">
        <v>33</v>
      </c>
      <c r="E13" s="177" t="s">
        <v>33</v>
      </c>
      <c r="F13" s="178" t="s">
        <v>33</v>
      </c>
      <c r="G13" s="181" t="s">
        <v>505</v>
      </c>
      <c r="H13" s="179" t="s">
        <v>506</v>
      </c>
      <c r="I13" s="181" t="s">
        <v>507</v>
      </c>
    </row>
    <row r="14" customFormat="false" ht="54.75" hidden="false" customHeight="true" outlineLevel="0" collapsed="false">
      <c r="A14" s="182" t="s">
        <v>508</v>
      </c>
      <c r="B14" s="183" t="s">
        <v>509</v>
      </c>
      <c r="C14" s="180" t="s">
        <v>33</v>
      </c>
      <c r="D14" s="34" t="s">
        <v>33</v>
      </c>
      <c r="E14" s="177" t="s">
        <v>33</v>
      </c>
      <c r="F14" s="178" t="s">
        <v>33</v>
      </c>
      <c r="G14" s="184" t="s">
        <v>510</v>
      </c>
      <c r="H14" s="185" t="s">
        <v>511</v>
      </c>
      <c r="I14" s="184" t="s">
        <v>60</v>
      </c>
    </row>
    <row r="15" customFormat="false" ht="54.75" hidden="false" customHeight="true" outlineLevel="0" collapsed="false">
      <c r="A15" s="174" t="s">
        <v>512</v>
      </c>
      <c r="B15" s="175" t="s">
        <v>513</v>
      </c>
      <c r="C15" s="186" t="s">
        <v>33</v>
      </c>
      <c r="D15" s="34" t="s">
        <v>33</v>
      </c>
      <c r="E15" s="177" t="s">
        <v>33</v>
      </c>
      <c r="F15" s="178" t="s">
        <v>33</v>
      </c>
      <c r="G15" s="179" t="s">
        <v>140</v>
      </c>
      <c r="H15" s="181" t="n">
        <v>2</v>
      </c>
      <c r="I15" s="181" t="n">
        <v>2</v>
      </c>
    </row>
    <row r="16" customFormat="false" ht="13.5" hidden="false" customHeight="true" outlineLevel="0" collapsed="false"/>
    <row r="17" customFormat="false" ht="21.75" hidden="false" customHeight="true" outlineLevel="0" collapsed="false">
      <c r="A17" s="39" t="s">
        <v>514</v>
      </c>
      <c r="B17" s="39"/>
      <c r="C17" s="39"/>
      <c r="D17" s="39"/>
      <c r="E17" s="39"/>
      <c r="F17" s="39"/>
      <c r="G17" s="39"/>
      <c r="H17" s="39"/>
      <c r="I17" s="39"/>
    </row>
  </sheetData>
  <mergeCells count="29">
    <mergeCell ref="A1:I1"/>
    <mergeCell ref="A2:I2"/>
    <mergeCell ref="A3:B3"/>
    <mergeCell ref="C3:D3"/>
    <mergeCell ref="E3:F3"/>
    <mergeCell ref="G3:H3"/>
    <mergeCell ref="I3:I8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8:B8"/>
    <mergeCell ref="C8:D8"/>
    <mergeCell ref="E8:F8"/>
    <mergeCell ref="G8:H8"/>
    <mergeCell ref="A10:I10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2026-05-18T23:42:00Z</dcterms:created>
  <dc:creator>openpyxl</dc:creator>
  <dc:description/>
  <dc:language>en-US</dc:language>
  <cp:lastModifiedBy>Dr. Abhijit Ashok Patil</cp:lastModifiedBy>
  <dcterms:modified xsi:type="dcterms:W3CDTF">2026-10-19T05:17:42Z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9027F83577ED1FB79B090B6A30154270_42</vt:lpwstr>
  </property>
  <property fmtid="{D5CDD505-2E9C-101B-9397-08002B2CF9AE}" pid="3" name="KSOProductBuildVer">
    <vt:lpwstr>1033-6.13.1.8710</vt:lpwstr>
  </property>
</Properties>
</file>